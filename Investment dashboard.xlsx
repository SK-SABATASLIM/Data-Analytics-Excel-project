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7.xml" ContentType="application/vnd.openxmlformats-officedocument.drawing+xml"/>
  <Override PartName="/xl/slicers/slicer5.xml" ContentType="application/vnd.ms-excel.slicer+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slicers/slicer6.xml" ContentType="application/vnd.ms-excel.slicer+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D81DA2B4-038D-4B21-BBE3-79D645E4E608}" xr6:coauthVersionLast="47" xr6:coauthVersionMax="47" xr10:uidLastSave="{00000000-0000-0000-0000-000000000000}"/>
  <bookViews>
    <workbookView xWindow="-120" yWindow="-120" windowWidth="20730" windowHeight="11160" activeTab="8" xr2:uid="{D1AEC208-4B4F-4089-A9A6-0564D5E754CC}"/>
  </bookViews>
  <sheets>
    <sheet name="task4" sheetId="3" r:id="rId1"/>
    <sheet name="task4,ii" sheetId="4" r:id="rId2"/>
    <sheet name="task1" sheetId="6" r:id="rId3"/>
    <sheet name="task2,i" sheetId="8" r:id="rId4"/>
    <sheet name="task 2,ii" sheetId="9" r:id="rId5"/>
    <sheet name="task3" sheetId="10" r:id="rId6"/>
    <sheet name="Data_set 2 (1)" sheetId="1" r:id="rId7"/>
    <sheet name="task5" sheetId="2" r:id="rId8"/>
    <sheet name="Dashboard" sheetId="11" r:id="rId9"/>
  </sheets>
  <definedNames>
    <definedName name="_xlchart.v1.0" hidden="1">'Data_set 2 (1)'!$O$1:$O$40</definedName>
    <definedName name="_xlchart.v1.1" hidden="1">'Data_set 2 (1)'!$O$41</definedName>
    <definedName name="Slicer_Avenue">#N/A</definedName>
    <definedName name="Slicer_Duration">#N/A</definedName>
    <definedName name="Slicer_Expect">#N/A</definedName>
    <definedName name="Slicer_gender">#N/A</definedName>
    <definedName name="Slicer_What_are_your_savings_objectives?">#N/A</definedName>
  </definedNames>
  <calcPr calcId="191029"/>
  <pivotCaches>
    <pivotCache cacheId="12"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Lst>
</workbook>
</file>

<file path=xl/calcChain.xml><?xml version="1.0" encoding="utf-8"?>
<calcChain xmlns="http://schemas.openxmlformats.org/spreadsheetml/2006/main">
  <c r="E2" i="2" l="1"/>
  <c r="D2" i="2"/>
  <c r="C2" i="2"/>
</calcChain>
</file>

<file path=xl/sharedStrings.xml><?xml version="1.0" encoding="utf-8"?>
<sst xmlns="http://schemas.openxmlformats.org/spreadsheetml/2006/main" count="738" uniqueCount="94">
  <si>
    <t>gender</t>
  </si>
  <si>
    <t>age</t>
  </si>
  <si>
    <t>Investment_Avenues</t>
  </si>
  <si>
    <t>Mutual_Funds</t>
  </si>
  <si>
    <t>Equity_Market</t>
  </si>
  <si>
    <t>Debentures</t>
  </si>
  <si>
    <t>Government_Bonds</t>
  </si>
  <si>
    <t>Fixed_Deposits</t>
  </si>
  <si>
    <t>PPF</t>
  </si>
  <si>
    <t>Gold</t>
  </si>
  <si>
    <t>Stock_Marktet</t>
  </si>
  <si>
    <t>Factor</t>
  </si>
  <si>
    <t>Objective</t>
  </si>
  <si>
    <t>Purpose</t>
  </si>
  <si>
    <t>Duration</t>
  </si>
  <si>
    <t>Invest_Monitor</t>
  </si>
  <si>
    <t>Expect</t>
  </si>
  <si>
    <t>Avenue</t>
  </si>
  <si>
    <t>What are your savings objectives?</t>
  </si>
  <si>
    <t>Reason_Equity</t>
  </si>
  <si>
    <t>Reason_Mutual</t>
  </si>
  <si>
    <t>Reason_Bonds</t>
  </si>
  <si>
    <t>Reason_FD</t>
  </si>
  <si>
    <t>Source</t>
  </si>
  <si>
    <t>Female</t>
  </si>
  <si>
    <t>Yes</t>
  </si>
  <si>
    <t>Returns</t>
  </si>
  <si>
    <t>Capital Appreciation</t>
  </si>
  <si>
    <t>Wealth Creation</t>
  </si>
  <si>
    <t>1-3 years</t>
  </si>
  <si>
    <t>Monthly</t>
  </si>
  <si>
    <t>20%-30%</t>
  </si>
  <si>
    <t>Mutual Fund</t>
  </si>
  <si>
    <t>Retirement Plan</t>
  </si>
  <si>
    <t>Better Returns</t>
  </si>
  <si>
    <t>Safe Investment</t>
  </si>
  <si>
    <t>Fixed Returns</t>
  </si>
  <si>
    <t>Newspapers and Magazines</t>
  </si>
  <si>
    <t>No</t>
  </si>
  <si>
    <t>Locking Period</t>
  </si>
  <si>
    <t>More than 5 years</t>
  </si>
  <si>
    <t>Weekly</t>
  </si>
  <si>
    <t>Health Care</t>
  </si>
  <si>
    <t>Dividend</t>
  </si>
  <si>
    <t>High Interest Rates</t>
  </si>
  <si>
    <t>Financial Consultants</t>
  </si>
  <si>
    <t>Male</t>
  </si>
  <si>
    <t>3-5 years</t>
  </si>
  <si>
    <t>Daily</t>
  </si>
  <si>
    <t>Equity</t>
  </si>
  <si>
    <t>Tax Benefits</t>
  </si>
  <si>
    <t>Assured Returns</t>
  </si>
  <si>
    <t>Television</t>
  </si>
  <si>
    <t>Income</t>
  </si>
  <si>
    <t>Less than 1 year</t>
  </si>
  <si>
    <t>10%-20%</t>
  </si>
  <si>
    <t>Fund Diversification</t>
  </si>
  <si>
    <t>Tax Incentives</t>
  </si>
  <si>
    <t>Internet</t>
  </si>
  <si>
    <t>Risk Free</t>
  </si>
  <si>
    <t>Risk</t>
  </si>
  <si>
    <t>30%-40%</t>
  </si>
  <si>
    <t>Liquidity</t>
  </si>
  <si>
    <t>Growth</t>
  </si>
  <si>
    <t>Savings for Future</t>
  </si>
  <si>
    <t>Fixed Deposits</t>
  </si>
  <si>
    <t>Education</t>
  </si>
  <si>
    <t>Public Provident Fund</t>
  </si>
  <si>
    <t>Row Labels</t>
  </si>
  <si>
    <t>Grand Total</t>
  </si>
  <si>
    <t>Count of Duration</t>
  </si>
  <si>
    <t>Count of Expect</t>
  </si>
  <si>
    <t>Duration_num</t>
  </si>
  <si>
    <t>Expect_num</t>
  </si>
  <si>
    <t>Age vs Duration_num</t>
  </si>
  <si>
    <t>Age vs Expect_num</t>
  </si>
  <si>
    <t>Duration_num vs Expect_num</t>
  </si>
  <si>
    <t>Count of gender</t>
  </si>
  <si>
    <t>Sum of Debentures</t>
  </si>
  <si>
    <t>Sum of Government_Bonds</t>
  </si>
  <si>
    <t>Sum of Fixed_Deposits</t>
  </si>
  <si>
    <t>Sum of PPF</t>
  </si>
  <si>
    <t xml:space="preserve"> Equity_Market</t>
  </si>
  <si>
    <t xml:space="preserve"> Gold</t>
  </si>
  <si>
    <t xml:space="preserve"> Mutual_Funds</t>
  </si>
  <si>
    <t>Count of Stock_Marktet</t>
  </si>
  <si>
    <t>Count of Reason_Equity</t>
  </si>
  <si>
    <t>Count of Reason_Mutual</t>
  </si>
  <si>
    <t>Count of Reason_Bonds</t>
  </si>
  <si>
    <t>Count of Reason_FD</t>
  </si>
  <si>
    <t>Count of What are your savings objectives?</t>
  </si>
  <si>
    <t>Count of Source</t>
  </si>
  <si>
    <t>Dashboard</t>
  </si>
  <si>
    <t xml:space="preserve">           Investment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</si>
</sst>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4"/>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
      <patternFill patternType="solid">
        <fgColor theme="9" tint="0.39997558519241921"/>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0" fillId="0" borderId="0" xfId="0" pivotButton="1"/>
    <xf numFmtId="0" fontId="0" fillId="0" borderId="0" xfId="0" applyAlignment="1">
      <alignment horizontal="left"/>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applyNumberFormat="1"/>
    <xf numFmtId="0" fontId="14" fillId="33" borderId="0" xfId="0" applyFont="1" applyFill="1"/>
    <xf numFmtId="0" fontId="0" fillId="34" borderId="0" xfId="0" applyFill="1"/>
    <xf numFmtId="0" fontId="18"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[task4&amp;5.xlsx]task4,ii!PivotTable2</c:name>
    <c:fmtId val="0"/>
  </c:pivotSource>
  <c:chart>
    <c:title>
      <c:tx>
        <c:rich>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r>
              <a:rPr lang="en-US"/>
              <a:t>Participants'</a:t>
            </a:r>
            <a:r>
              <a:rPr lang="en-US" baseline="0"/>
              <a:t> Investment Expectations</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endParaRPr lang="en-US"/>
        </a:p>
      </c:txPr>
    </c:title>
    <c:autoTitleDeleted val="0"/>
    <c:pivotFmts>
      <c:pivotFmt>
        <c:idx val="0"/>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'task4,ii'!$B$3</c:f>
              <c:strCache>
                <c:ptCount val="1"/>
                <c:pt idx="0">
                  <c:v>Total</c:v>
                </c:pt>
              </c:strCache>
            </c:strRef>
          </c:tx>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'task4,ii'!$A$4:$A$7</c:f>
              <c:strCache>
                <c:ptCount val="3"/>
                <c:pt idx="0">
                  <c:v>10%-20%</c:v>
                </c:pt>
                <c:pt idx="1">
                  <c:v>20%-30%</c:v>
                </c:pt>
                <c:pt idx="2">
                  <c:v>30%-40%</c:v>
                </c:pt>
              </c:strCache>
            </c:strRef>
          </c:cat>
          <c:val>
            <c:numRef>
              <c:f>'task4,ii'!$B$4:$B$7</c:f>
              <c:numCache>
                <c:formatCode>General</c:formatCode>
                <c:ptCount val="3"/>
                <c:pt idx="0">
                  <c:v>3</c:v>
                </c:pt>
                <c:pt idx="1">
                  <c:v>32</c:v>
                </c:pt>
                <c:pt idx="2">
                  <c:v>5</c:v>
                </c:pt>
              </c:numCache>
            </c:numRef>
          </c:val>
          <c:extLst>
            <c:ext xmlns:c16="http://schemas.microsoft.com/office/drawing/2014/chart" uri="{C3380CC4-5D6E-409C-BE32-E72D297353CC}">
              <c16:uniqueId val="{00000000-4825-48C5-A41E-F4F7BFF92AE7}"/>
            </c:ext>
          </c:extLst>
        </c:ser>
        <c:dLbls>
          <c:showLegendKey val="0"/>
          <c:showVal val="1"/>
          <c:showCatName val="0"/>
          <c:showSerName val="0"/>
          <c:showPercent val="0"/>
          <c:showBubbleSize val="0"/>
        </c:dLbls>
        <c:axId val="1126540480"/>
        <c:axId val="1126534240"/>
      </c:radarChart>
      <c:catAx>
        <c:axId val="1126540480"/>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26534240"/>
        <c:crosses val="autoZero"/>
        <c:auto val="1"/>
        <c:lblAlgn val="ctr"/>
        <c:lblOffset val="100"/>
        <c:noMultiLvlLbl val="0"/>
      </c:catAx>
      <c:valAx>
        <c:axId val="1126534240"/>
        <c:scaling>
          <c:orientation val="minMax"/>
        </c:scaling>
        <c:delete val="0"/>
        <c:axPos val="l"/>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26540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[task4&amp;5.xlsx]task1!PivotTable1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a:t>
            </a:r>
            <a:r>
              <a:rPr lang="en-US" baseline="0"/>
              <a:t>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task1!$B$3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467-48CF-B569-0D459753135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467-48CF-B569-0D459753135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task1!$A$4:$A$6</c:f>
              <c:strCache>
                <c:ptCount val="2"/>
                <c:pt idx="0">
                  <c:v>Female</c:v>
                </c:pt>
                <c:pt idx="1">
                  <c:v>Male</c:v>
                </c:pt>
              </c:strCache>
            </c:strRef>
          </c:cat>
          <c:val>
            <c:numRef>
              <c:f>task1!$B$4:$B$6</c:f>
              <c:numCache>
                <c:formatCode>General</c:formatCode>
                <c:ptCount val="2"/>
                <c:pt idx="0">
                  <c:v>15</c:v>
                </c:pt>
                <c:pt idx="1">
                  <c:v>25</c:v>
                </c:pt>
              </c:numCache>
            </c:numRef>
          </c:val>
          <c:extLst>
            <c:ext xmlns:c16="http://schemas.microsoft.com/office/drawing/2014/chart" uri="{C3380CC4-5D6E-409C-BE32-E72D297353CC}">
              <c16:uniqueId val="{00000000-BE90-4F42-95D9-ACA4878A7E60}"/>
            </c:ext>
          </c:extLst>
        </c:ser>
        <c:dLbls>
          <c:dLblPos val="ctr"/>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[task4&amp;5.xlsx]task2,i!PivotTable17</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Distribution</a:t>
            </a:r>
            <a:r>
              <a:rPr lang="en-US" baseline="0"/>
              <a:t> of Participants Across Investment Avenues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'task2,i'!$A$3</c:f>
              <c:strCache>
                <c:ptCount val="1"/>
                <c:pt idx="0">
                  <c:v> Equity_Market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'task2,i'!$A$4</c:f>
              <c:strCache>
                <c:ptCount val="1"/>
                <c:pt idx="0">
                  <c:v>Total</c:v>
                </c:pt>
              </c:strCache>
            </c:strRef>
          </c:cat>
          <c:val>
            <c:numRef>
              <c:f>'task2,i'!$A$4</c:f>
              <c:numCache>
                <c:formatCode>General</c:formatCode>
                <c:ptCount val="1"/>
                <c:pt idx="0">
                  <c:v>139</c:v>
                </c:pt>
              </c:numCache>
            </c:numRef>
          </c:val>
          <c:extLst>
            <c:ext xmlns:c16="http://schemas.microsoft.com/office/drawing/2014/chart" uri="{C3380CC4-5D6E-409C-BE32-E72D297353CC}">
              <c16:uniqueId val="{00000000-164B-48E8-A82B-77A559F41A5B}"/>
            </c:ext>
          </c:extLst>
        </c:ser>
        <c:ser>
          <c:idx val="1"/>
          <c:order val="1"/>
          <c:tx>
            <c:strRef>
              <c:f>'task2,i'!$B$3</c:f>
              <c:strCache>
                <c:ptCount val="1"/>
                <c:pt idx="0">
                  <c:v>Sum of Debentures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'task2,i'!$A$4</c:f>
              <c:strCache>
                <c:ptCount val="1"/>
                <c:pt idx="0">
                  <c:v>Total</c:v>
                </c:pt>
              </c:strCache>
            </c:strRef>
          </c:cat>
          <c:val>
            <c:numRef>
              <c:f>'task2,i'!$B$4</c:f>
              <c:numCache>
                <c:formatCode>General</c:formatCode>
                <c:ptCount val="1"/>
                <c:pt idx="0">
                  <c:v>230</c:v>
                </c:pt>
              </c:numCache>
            </c:numRef>
          </c:val>
          <c:extLst>
            <c:ext xmlns:c16="http://schemas.microsoft.com/office/drawing/2014/chart" uri="{C3380CC4-5D6E-409C-BE32-E72D297353CC}">
              <c16:uniqueId val="{00000001-164B-48E8-A82B-77A559F41A5B}"/>
            </c:ext>
          </c:extLst>
        </c:ser>
        <c:ser>
          <c:idx val="2"/>
          <c:order val="2"/>
          <c:tx>
            <c:strRef>
              <c:f>'task2,i'!$C$3</c:f>
              <c:strCache>
                <c:ptCount val="1"/>
                <c:pt idx="0">
                  <c:v>Sum of Government_Bonds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'task2,i'!$A$4</c:f>
              <c:strCache>
                <c:ptCount val="1"/>
                <c:pt idx="0">
                  <c:v>Total</c:v>
                </c:pt>
              </c:strCache>
            </c:strRef>
          </c:cat>
          <c:val>
            <c:numRef>
              <c:f>'task2,i'!$C$4</c:f>
              <c:numCache>
                <c:formatCode>General</c:formatCode>
                <c:ptCount val="1"/>
                <c:pt idx="0">
                  <c:v>186</c:v>
                </c:pt>
              </c:numCache>
            </c:numRef>
          </c:val>
          <c:extLst>
            <c:ext xmlns:c16="http://schemas.microsoft.com/office/drawing/2014/chart" uri="{C3380CC4-5D6E-409C-BE32-E72D297353CC}">
              <c16:uniqueId val="{00000002-164B-48E8-A82B-77A559F41A5B}"/>
            </c:ext>
          </c:extLst>
        </c:ser>
        <c:ser>
          <c:idx val="3"/>
          <c:order val="3"/>
          <c:tx>
            <c:strRef>
              <c:f>'task2,i'!$D$3</c:f>
              <c:strCache>
                <c:ptCount val="1"/>
                <c:pt idx="0">
                  <c:v>Sum of Fixed_Deposits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'task2,i'!$A$4</c:f>
              <c:strCache>
                <c:ptCount val="1"/>
                <c:pt idx="0">
                  <c:v>Total</c:v>
                </c:pt>
              </c:strCache>
            </c:strRef>
          </c:cat>
          <c:val>
            <c:numRef>
              <c:f>'task2,i'!$D$4</c:f>
              <c:numCache>
                <c:formatCode>General</c:formatCode>
                <c:ptCount val="1"/>
                <c:pt idx="0">
                  <c:v>143</c:v>
                </c:pt>
              </c:numCache>
            </c:numRef>
          </c:val>
          <c:extLst>
            <c:ext xmlns:c16="http://schemas.microsoft.com/office/drawing/2014/chart" uri="{C3380CC4-5D6E-409C-BE32-E72D297353CC}">
              <c16:uniqueId val="{00000003-164B-48E8-A82B-77A559F41A5B}"/>
            </c:ext>
          </c:extLst>
        </c:ser>
        <c:ser>
          <c:idx val="4"/>
          <c:order val="4"/>
          <c:tx>
            <c:strRef>
              <c:f>'task2,i'!$E$3</c:f>
              <c:strCache>
                <c:ptCount val="1"/>
                <c:pt idx="0">
                  <c:v>Sum of PPF</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'task2,i'!$A$4</c:f>
              <c:strCache>
                <c:ptCount val="1"/>
                <c:pt idx="0">
                  <c:v>Total</c:v>
                </c:pt>
              </c:strCache>
            </c:strRef>
          </c:cat>
          <c:val>
            <c:numRef>
              <c:f>'task2,i'!$E$4</c:f>
              <c:numCache>
                <c:formatCode>General</c:formatCode>
                <c:ptCount val="1"/>
                <c:pt idx="0">
                  <c:v>81</c:v>
                </c:pt>
              </c:numCache>
            </c:numRef>
          </c:val>
          <c:extLst>
            <c:ext xmlns:c16="http://schemas.microsoft.com/office/drawing/2014/chart" uri="{C3380CC4-5D6E-409C-BE32-E72D297353CC}">
              <c16:uniqueId val="{00000004-164B-48E8-A82B-77A559F41A5B}"/>
            </c:ext>
          </c:extLst>
        </c:ser>
        <c:ser>
          <c:idx val="5"/>
          <c:order val="5"/>
          <c:tx>
            <c:strRef>
              <c:f>'task2,i'!$F$3</c:f>
              <c:strCache>
                <c:ptCount val="1"/>
                <c:pt idx="0">
                  <c:v> Gold</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'task2,i'!$A$4</c:f>
              <c:strCache>
                <c:ptCount val="1"/>
                <c:pt idx="0">
                  <c:v>Total</c:v>
                </c:pt>
              </c:strCache>
            </c:strRef>
          </c:cat>
          <c:val>
            <c:numRef>
              <c:f>'task2,i'!$F$4</c:f>
              <c:numCache>
                <c:formatCode>General</c:formatCode>
                <c:ptCount val="1"/>
                <c:pt idx="0">
                  <c:v>239</c:v>
                </c:pt>
              </c:numCache>
            </c:numRef>
          </c:val>
          <c:extLst>
            <c:ext xmlns:c16="http://schemas.microsoft.com/office/drawing/2014/chart" uri="{C3380CC4-5D6E-409C-BE32-E72D297353CC}">
              <c16:uniqueId val="{00000005-164B-48E8-A82B-77A559F41A5B}"/>
            </c:ext>
          </c:extLst>
        </c:ser>
        <c:ser>
          <c:idx val="6"/>
          <c:order val="6"/>
          <c:tx>
            <c:strRef>
              <c:f>'task2,i'!$G$3</c:f>
              <c:strCache>
                <c:ptCount val="1"/>
                <c:pt idx="0">
                  <c:v> Mutual_Funds</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'task2,i'!$A$4</c:f>
              <c:strCache>
                <c:ptCount val="1"/>
                <c:pt idx="0">
                  <c:v>Total</c:v>
                </c:pt>
              </c:strCache>
            </c:strRef>
          </c:cat>
          <c:val>
            <c:numRef>
              <c:f>'task2,i'!$G$4</c:f>
              <c:numCache>
                <c:formatCode>General</c:formatCode>
                <c:ptCount val="1"/>
                <c:pt idx="0">
                  <c:v>102</c:v>
                </c:pt>
              </c:numCache>
            </c:numRef>
          </c:val>
          <c:extLst>
            <c:ext xmlns:c16="http://schemas.microsoft.com/office/drawing/2014/chart" uri="{C3380CC4-5D6E-409C-BE32-E72D297353CC}">
              <c16:uniqueId val="{00000006-164B-48E8-A82B-77A559F41A5B}"/>
            </c:ext>
          </c:extLst>
        </c:ser>
        <c:dLbls>
          <c:dLblPos val="ctr"/>
          <c:showLegendKey val="0"/>
          <c:showVal val="1"/>
          <c:showCatName val="0"/>
          <c:showSerName val="0"/>
          <c:showPercent val="0"/>
          <c:showBubbleSize val="0"/>
        </c:dLbls>
        <c:gapWidth val="150"/>
        <c:overlap val="100"/>
        <c:axId val="1290428192"/>
        <c:axId val="1290410432"/>
      </c:barChart>
      <c:catAx>
        <c:axId val="129042819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0410432"/>
        <c:crosses val="autoZero"/>
        <c:auto val="1"/>
        <c:lblAlgn val="ctr"/>
        <c:lblOffset val="100"/>
        <c:noMultiLvlLbl val="0"/>
      </c:catAx>
      <c:valAx>
        <c:axId val="1290410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0428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[task4&amp;5.xlsx]task 2,ii!PivotTable2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Reason for choosing Equity Investment</a:t>
            </a:r>
            <a:r>
              <a:rPr lang="en-US" baseline="0"/>
              <a:t>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'task 2,ii'!$B$3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 2,ii'!$A$4:$A$7</c:f>
              <c:strCache>
                <c:ptCount val="3"/>
                <c:pt idx="0">
                  <c:v>Capital Appreciation</c:v>
                </c:pt>
                <c:pt idx="1">
                  <c:v>Dividend</c:v>
                </c:pt>
                <c:pt idx="2">
                  <c:v>Liquidity</c:v>
                </c:pt>
              </c:strCache>
            </c:strRef>
          </c:cat>
          <c:val>
            <c:numRef>
              <c:f>'task 2,ii'!$B$4:$B$7</c:f>
              <c:numCache>
                <c:formatCode>General</c:formatCode>
                <c:ptCount val="3"/>
                <c:pt idx="0">
                  <c:v>30</c:v>
                </c:pt>
                <c:pt idx="1">
                  <c:v>8</c:v>
                </c:pt>
                <c:pt idx="2">
                  <c:v>2</c:v>
                </c:pt>
              </c:numCache>
            </c:numRef>
          </c:val>
          <c:extLst>
            <c:ext xmlns:c16="http://schemas.microsoft.com/office/drawing/2014/chart" uri="{C3380CC4-5D6E-409C-BE32-E72D297353CC}">
              <c16:uniqueId val="{00000000-A1DD-4766-ABD6-D225DB4DF7C9}"/>
            </c:ext>
          </c:extLst>
        </c:ser>
        <c:dLbls>
          <c:dLblPos val="ctr"/>
          <c:showLegendKey val="0"/>
          <c:showVal val="1"/>
          <c:showCatName val="0"/>
          <c:showSerName val="0"/>
          <c:showPercent val="0"/>
          <c:showBubbleSize val="0"/>
        </c:dLbls>
        <c:gapWidth val="150"/>
        <c:overlap val="100"/>
        <c:axId val="1290401792"/>
        <c:axId val="1290405632"/>
      </c:barChart>
      <c:catAx>
        <c:axId val="129040179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0405632"/>
        <c:crosses val="autoZero"/>
        <c:auto val="1"/>
        <c:lblAlgn val="ctr"/>
        <c:lblOffset val="100"/>
        <c:noMultiLvlLbl val="0"/>
      </c:catAx>
      <c:valAx>
        <c:axId val="12904056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04017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[task4&amp;5.xlsx]task 2,ii!PivotTable3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Reason</a:t>
            </a:r>
            <a:r>
              <a:rPr lang="en-US" baseline="0"/>
              <a:t> for Choosing Mutual Investment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'task 2,ii'!$G$3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 2,ii'!$F$4:$F$7</c:f>
              <c:strCache>
                <c:ptCount val="3"/>
                <c:pt idx="0">
                  <c:v>Better Returns</c:v>
                </c:pt>
                <c:pt idx="1">
                  <c:v>Fund Diversification</c:v>
                </c:pt>
                <c:pt idx="2">
                  <c:v>Tax Benefits</c:v>
                </c:pt>
              </c:strCache>
            </c:strRef>
          </c:cat>
          <c:val>
            <c:numRef>
              <c:f>'task 2,ii'!$G$4:$G$7</c:f>
              <c:numCache>
                <c:formatCode>General</c:formatCode>
                <c:ptCount val="3"/>
                <c:pt idx="0">
                  <c:v>24</c:v>
                </c:pt>
                <c:pt idx="1">
                  <c:v>13</c:v>
                </c:pt>
                <c:pt idx="2">
                  <c:v>3</c:v>
                </c:pt>
              </c:numCache>
            </c:numRef>
          </c:val>
          <c:extLst>
            <c:ext xmlns:c16="http://schemas.microsoft.com/office/drawing/2014/chart" uri="{C3380CC4-5D6E-409C-BE32-E72D297353CC}">
              <c16:uniqueId val="{00000000-A45B-4B12-8B27-0B1564757FD6}"/>
            </c:ext>
          </c:extLst>
        </c:ser>
        <c:dLbls>
          <c:dLblPos val="ctr"/>
          <c:showLegendKey val="0"/>
          <c:showVal val="1"/>
          <c:showCatName val="0"/>
          <c:showSerName val="0"/>
          <c:showPercent val="0"/>
          <c:showBubbleSize val="0"/>
        </c:dLbls>
        <c:gapWidth val="150"/>
        <c:overlap val="100"/>
        <c:axId val="1290434432"/>
        <c:axId val="1290445952"/>
      </c:barChart>
      <c:catAx>
        <c:axId val="129043443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0445952"/>
        <c:crosses val="autoZero"/>
        <c:auto val="1"/>
        <c:lblAlgn val="ctr"/>
        <c:lblOffset val="100"/>
        <c:noMultiLvlLbl val="0"/>
      </c:catAx>
      <c:valAx>
        <c:axId val="1290445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0434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[task4&amp;5.xlsx]task 2,ii!PivotTable4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Reason</a:t>
            </a:r>
            <a:r>
              <a:rPr lang="en-US" baseline="0"/>
              <a:t> for Choosing Bonds Investment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'task 2,ii'!$J$3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 2,ii'!$I$4:$I$7</c:f>
              <c:strCache>
                <c:ptCount val="3"/>
                <c:pt idx="0">
                  <c:v>Assured Returns</c:v>
                </c:pt>
                <c:pt idx="1">
                  <c:v>Safe Investment</c:v>
                </c:pt>
                <c:pt idx="2">
                  <c:v>Tax Incentives</c:v>
                </c:pt>
              </c:strCache>
            </c:strRef>
          </c:cat>
          <c:val>
            <c:numRef>
              <c:f>'task 2,ii'!$J$4:$J$7</c:f>
              <c:numCache>
                <c:formatCode>General</c:formatCode>
                <c:ptCount val="3"/>
                <c:pt idx="0">
                  <c:v>26</c:v>
                </c:pt>
                <c:pt idx="1">
                  <c:v>13</c:v>
                </c:pt>
                <c:pt idx="2">
                  <c:v>1</c:v>
                </c:pt>
              </c:numCache>
            </c:numRef>
          </c:val>
          <c:extLst>
            <c:ext xmlns:c16="http://schemas.microsoft.com/office/drawing/2014/chart" uri="{C3380CC4-5D6E-409C-BE32-E72D297353CC}">
              <c16:uniqueId val="{00000000-3E7E-4F68-8A7E-B81D3E325119}"/>
            </c:ext>
          </c:extLst>
        </c:ser>
        <c:dLbls>
          <c:dLblPos val="ctr"/>
          <c:showLegendKey val="0"/>
          <c:showVal val="1"/>
          <c:showCatName val="0"/>
          <c:showSerName val="0"/>
          <c:showPercent val="0"/>
          <c:showBubbleSize val="0"/>
        </c:dLbls>
        <c:gapWidth val="150"/>
        <c:overlap val="100"/>
        <c:axId val="1261556752"/>
        <c:axId val="1261559632"/>
      </c:barChart>
      <c:catAx>
        <c:axId val="12615567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1559632"/>
        <c:crosses val="autoZero"/>
        <c:auto val="1"/>
        <c:lblAlgn val="ctr"/>
        <c:lblOffset val="100"/>
        <c:noMultiLvlLbl val="0"/>
      </c:catAx>
      <c:valAx>
        <c:axId val="12615596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1556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[task4&amp;5.xlsx]task 2,ii!PivotTable5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Reason</a:t>
            </a:r>
            <a:r>
              <a:rPr lang="en-US" baseline="0"/>
              <a:t> for Choosing FD Investment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'task 2,ii'!$O$3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 2,ii'!$N$4:$N$7</c:f>
              <c:strCache>
                <c:ptCount val="3"/>
                <c:pt idx="0">
                  <c:v>Fixed Returns</c:v>
                </c:pt>
                <c:pt idx="1">
                  <c:v>High Interest Rates</c:v>
                </c:pt>
                <c:pt idx="2">
                  <c:v>Risk Free</c:v>
                </c:pt>
              </c:strCache>
            </c:strRef>
          </c:cat>
          <c:val>
            <c:numRef>
              <c:f>'task 2,ii'!$O$4:$O$7</c:f>
              <c:numCache>
                <c:formatCode>General</c:formatCode>
                <c:ptCount val="3"/>
                <c:pt idx="0">
                  <c:v>18</c:v>
                </c:pt>
                <c:pt idx="1">
                  <c:v>3</c:v>
                </c:pt>
                <c:pt idx="2">
                  <c:v>19</c:v>
                </c:pt>
              </c:numCache>
            </c:numRef>
          </c:val>
          <c:extLst>
            <c:ext xmlns:c16="http://schemas.microsoft.com/office/drawing/2014/chart" uri="{C3380CC4-5D6E-409C-BE32-E72D297353CC}">
              <c16:uniqueId val="{00000000-F9EF-4B99-BF7F-BCFDDACE61ED}"/>
            </c:ext>
          </c:extLst>
        </c:ser>
        <c:dLbls>
          <c:dLblPos val="ctr"/>
          <c:showLegendKey val="0"/>
          <c:showVal val="1"/>
          <c:showCatName val="0"/>
          <c:showSerName val="0"/>
          <c:showPercent val="0"/>
          <c:showBubbleSize val="0"/>
        </c:dLbls>
        <c:gapWidth val="150"/>
        <c:overlap val="100"/>
        <c:axId val="1290456032"/>
        <c:axId val="1290431552"/>
      </c:barChart>
      <c:catAx>
        <c:axId val="129045603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0431552"/>
        <c:crosses val="autoZero"/>
        <c:auto val="1"/>
        <c:lblAlgn val="ctr"/>
        <c:lblOffset val="100"/>
        <c:noMultiLvlLbl val="0"/>
      </c:catAx>
      <c:valAx>
        <c:axId val="1290431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0456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[task4&amp;5.xlsx]task3!PivotTable6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Distribution</a:t>
            </a:r>
            <a:r>
              <a:rPr lang="en-US" baseline="0"/>
              <a:t> of Savings Objective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1923877732337719"/>
          <c:y val="0.24595618256051327"/>
          <c:w val="0.41320176063263409"/>
          <c:h val="0.5552398658501021"/>
        </c:manualLayout>
      </c:layout>
      <c:doughnutChart>
        <c:varyColors val="1"/>
        <c:ser>
          <c:idx val="0"/>
          <c:order val="0"/>
          <c:tx>
            <c:strRef>
              <c:f>task3!$B$3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50E-4F9B-B81B-85652E19850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50E-4F9B-B81B-85652E19850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50E-4F9B-B81B-85652E19850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task3!$A$4:$A$7</c:f>
              <c:strCache>
                <c:ptCount val="3"/>
                <c:pt idx="0">
                  <c:v>Education</c:v>
                </c:pt>
                <c:pt idx="1">
                  <c:v>Health Care</c:v>
                </c:pt>
                <c:pt idx="2">
                  <c:v>Retirement Plan</c:v>
                </c:pt>
              </c:strCache>
            </c:strRef>
          </c:cat>
          <c:val>
            <c:numRef>
              <c:f>task3!$B$4:$B$7</c:f>
              <c:numCache>
                <c:formatCode>General</c:formatCode>
                <c:ptCount val="3"/>
                <c:pt idx="0">
                  <c:v>3</c:v>
                </c:pt>
                <c:pt idx="1">
                  <c:v>13</c:v>
                </c:pt>
                <c:pt idx="2">
                  <c:v>24</c:v>
                </c:pt>
              </c:numCache>
            </c:numRef>
          </c:val>
          <c:extLst>
            <c:ext xmlns:c16="http://schemas.microsoft.com/office/drawing/2014/chart" uri="{C3380CC4-5D6E-409C-BE32-E72D297353CC}">
              <c16:uniqueId val="{00000000-97DF-4408-9486-4C7E273BF48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[task4&amp;5.xlsx]task3!PivotTable7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Common</a:t>
            </a:r>
            <a:r>
              <a:rPr lang="en-US" baseline="0"/>
              <a:t> Information Sources Used By Participants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task3!$F$3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task3!$E$4:$E$8</c:f>
              <c:strCache>
                <c:ptCount val="4"/>
                <c:pt idx="0">
                  <c:v>Financial Consultants</c:v>
                </c:pt>
                <c:pt idx="1">
                  <c:v>Internet</c:v>
                </c:pt>
                <c:pt idx="2">
                  <c:v>Newspapers and Magazines</c:v>
                </c:pt>
                <c:pt idx="3">
                  <c:v>Television</c:v>
                </c:pt>
              </c:strCache>
            </c:strRef>
          </c:cat>
          <c:val>
            <c:numRef>
              <c:f>task3!$F$4:$F$8</c:f>
              <c:numCache>
                <c:formatCode>General</c:formatCode>
                <c:ptCount val="4"/>
                <c:pt idx="0">
                  <c:v>16</c:v>
                </c:pt>
                <c:pt idx="1">
                  <c:v>4</c:v>
                </c:pt>
                <c:pt idx="2">
                  <c:v>14</c:v>
                </c:pt>
                <c:pt idx="3">
                  <c:v>6</c:v>
                </c:pt>
              </c:numCache>
            </c:numRef>
          </c:val>
          <c:extLst>
            <c:ext xmlns:c16="http://schemas.microsoft.com/office/drawing/2014/chart" uri="{C3380CC4-5D6E-409C-BE32-E72D297353CC}">
              <c16:uniqueId val="{00000000-3E4C-417C-A0F2-CE4188D73099}"/>
            </c:ext>
          </c:extLst>
        </c:ser>
        <c:dLbls>
          <c:dLblPos val="ctr"/>
          <c:showLegendKey val="0"/>
          <c:showVal val="1"/>
          <c:showCatName val="0"/>
          <c:showSerName val="0"/>
          <c:showPercent val="0"/>
          <c:showBubbleSize val="0"/>
        </c:dLbls>
        <c:gapWidth val="115"/>
        <c:overlap val="-20"/>
        <c:axId val="1525288544"/>
        <c:axId val="1525291424"/>
      </c:barChart>
      <c:catAx>
        <c:axId val="152528854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5291424"/>
        <c:crosses val="autoZero"/>
        <c:auto val="1"/>
        <c:lblAlgn val="ctr"/>
        <c:lblOffset val="100"/>
        <c:noMultiLvlLbl val="0"/>
      </c:catAx>
      <c:valAx>
        <c:axId val="1525291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5288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 vs Expected returns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task5!$F$1</c:f>
              <c:strCache>
                <c:ptCount val="1"/>
                <c:pt idx="0">
                  <c:v>age</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xVal>
            <c:numRef>
              <c:f>task5!$B$2:$B$41</c:f>
              <c:numCache>
                <c:formatCode>General</c:formatCode>
                <c:ptCount val="40"/>
                <c:pt idx="0">
                  <c:v>25</c:v>
                </c:pt>
                <c:pt idx="1">
                  <c:v>25</c:v>
                </c:pt>
                <c:pt idx="2">
                  <c:v>25</c:v>
                </c:pt>
                <c:pt idx="3">
                  <c:v>15</c:v>
                </c:pt>
                <c:pt idx="4">
                  <c:v>25</c:v>
                </c:pt>
                <c:pt idx="5">
                  <c:v>35</c:v>
                </c:pt>
                <c:pt idx="6">
                  <c:v>25</c:v>
                </c:pt>
                <c:pt idx="7">
                  <c:v>25</c:v>
                </c:pt>
                <c:pt idx="8">
                  <c:v>25</c:v>
                </c:pt>
                <c:pt idx="9">
                  <c:v>35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35</c:v>
                </c:pt>
                <c:pt idx="25">
                  <c:v>25</c:v>
                </c:pt>
                <c:pt idx="26">
                  <c:v>25</c:v>
                </c:pt>
                <c:pt idx="27">
                  <c:v>25</c:v>
                </c:pt>
                <c:pt idx="28">
                  <c:v>25</c:v>
                </c:pt>
                <c:pt idx="29">
                  <c:v>15</c:v>
                </c:pt>
                <c:pt idx="30">
                  <c:v>15</c:v>
                </c:pt>
                <c:pt idx="31">
                  <c:v>25</c:v>
                </c:pt>
                <c:pt idx="32">
                  <c:v>35</c:v>
                </c:pt>
                <c:pt idx="33">
                  <c:v>25</c:v>
                </c:pt>
                <c:pt idx="34">
                  <c:v>25</c:v>
                </c:pt>
                <c:pt idx="35">
                  <c:v>25</c:v>
                </c:pt>
                <c:pt idx="36">
                  <c:v>25</c:v>
                </c:pt>
                <c:pt idx="37">
                  <c:v>35</c:v>
                </c:pt>
                <c:pt idx="38">
                  <c:v>25</c:v>
                </c:pt>
                <c:pt idx="39">
                  <c:v>25</c:v>
                </c:pt>
              </c:numCache>
            </c:numRef>
          </c:xVal>
          <c:yVal>
            <c:numRef>
              <c:f>task5!$F$2:$F$41</c:f>
              <c:numCache>
                <c:formatCode>General</c:formatCode>
                <c:ptCount val="40"/>
                <c:pt idx="0">
                  <c:v>34</c:v>
                </c:pt>
                <c:pt idx="1">
                  <c:v>23</c:v>
                </c:pt>
                <c:pt idx="2">
                  <c:v>30</c:v>
                </c:pt>
                <c:pt idx="3">
                  <c:v>22</c:v>
                </c:pt>
                <c:pt idx="4">
                  <c:v>24</c:v>
                </c:pt>
                <c:pt idx="5">
                  <c:v>24</c:v>
                </c:pt>
                <c:pt idx="6">
                  <c:v>27</c:v>
                </c:pt>
                <c:pt idx="7">
                  <c:v>21</c:v>
                </c:pt>
                <c:pt idx="8">
                  <c:v>35</c:v>
                </c:pt>
                <c:pt idx="9">
                  <c:v>31</c:v>
                </c:pt>
                <c:pt idx="10">
                  <c:v>35</c:v>
                </c:pt>
                <c:pt idx="11">
                  <c:v>29</c:v>
                </c:pt>
                <c:pt idx="12">
                  <c:v>21</c:v>
                </c:pt>
                <c:pt idx="13">
                  <c:v>28</c:v>
                </c:pt>
                <c:pt idx="14">
                  <c:v>25</c:v>
                </c:pt>
                <c:pt idx="15">
                  <c:v>27</c:v>
                </c:pt>
                <c:pt idx="16">
                  <c:v>28</c:v>
                </c:pt>
                <c:pt idx="17">
                  <c:v>27</c:v>
                </c:pt>
                <c:pt idx="18">
                  <c:v>29</c:v>
                </c:pt>
                <c:pt idx="19">
                  <c:v>26</c:v>
                </c:pt>
                <c:pt idx="20">
                  <c:v>29</c:v>
                </c:pt>
                <c:pt idx="21">
                  <c:v>24</c:v>
                </c:pt>
                <c:pt idx="22">
                  <c:v>27</c:v>
                </c:pt>
                <c:pt idx="23">
                  <c:v>25</c:v>
                </c:pt>
                <c:pt idx="24">
                  <c:v>26</c:v>
                </c:pt>
                <c:pt idx="25">
                  <c:v>32</c:v>
                </c:pt>
                <c:pt idx="26">
                  <c:v>26</c:v>
                </c:pt>
                <c:pt idx="27">
                  <c:v>31</c:v>
                </c:pt>
                <c:pt idx="28">
                  <c:v>29</c:v>
                </c:pt>
                <c:pt idx="29">
                  <c:v>34</c:v>
                </c:pt>
                <c:pt idx="30">
                  <c:v>27</c:v>
                </c:pt>
                <c:pt idx="31">
                  <c:v>31</c:v>
                </c:pt>
                <c:pt idx="32">
                  <c:v>27</c:v>
                </c:pt>
                <c:pt idx="33">
                  <c:v>26</c:v>
                </c:pt>
                <c:pt idx="34">
                  <c:v>27</c:v>
                </c:pt>
                <c:pt idx="35">
                  <c:v>30</c:v>
                </c:pt>
                <c:pt idx="36">
                  <c:v>30</c:v>
                </c:pt>
                <c:pt idx="37">
                  <c:v>25</c:v>
                </c:pt>
                <c:pt idx="38">
                  <c:v>31</c:v>
                </c:pt>
                <c:pt idx="39">
                  <c:v>29</c:v>
                </c:pt>
              </c:numCache>
            </c:numRef>
          </c:yVal>
          <c:smooth val="0"/>
          <c:extLst>
            <c:ext xmlns:c16="http://schemas.microsoft.com/office/drawing/2014/chart" uri="{C3380CC4-5D6E-409C-BE32-E72D297353CC}">
              <c16:uniqueId val="{00000000-092F-4A43-9612-050AE2DDCA5F}"/>
            </c:ext>
          </c:extLst>
        </c:ser>
        <c:dLbls>
          <c:dLblPos val="l"/>
          <c:showLegendKey val="0"/>
          <c:showVal val="1"/>
          <c:showCatName val="0"/>
          <c:showSerName val="0"/>
          <c:showPercent val="0"/>
          <c:showBubbleSize val="0"/>
        </c:dLbls>
        <c:axId val="1346562272"/>
        <c:axId val="1346570432"/>
      </c:scatterChart>
      <c:valAx>
        <c:axId val="1346562272"/>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US" sz="1200" b="1">
                    <a:solidFill>
                      <a:schemeClr val="bg1"/>
                    </a:solidFill>
                  </a:rPr>
                  <a:t>Age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46570432"/>
        <c:crosses val="autoZero"/>
        <c:crossBetween val="midCat"/>
      </c:valAx>
      <c:valAx>
        <c:axId val="134657043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US" sz="1200">
                    <a:solidFill>
                      <a:schemeClr val="bg1"/>
                    </a:solidFill>
                  </a:rPr>
                  <a:t>Expect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4656227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Investment</a:t>
            </a:r>
            <a:r>
              <a:rPr lang="en-US" baseline="0"/>
              <a:t> Duration vs Expected Returns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task5!$A$1</c:f>
              <c:strCache>
                <c:ptCount val="1"/>
                <c:pt idx="0">
                  <c:v>Duration_num</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task5!$A$2:$A$41</c:f>
              <c:numCache>
                <c:formatCode>General</c:formatCode>
                <c:ptCount val="40"/>
                <c:pt idx="0">
                  <c:v>2</c:v>
                </c:pt>
                <c:pt idx="1">
                  <c:v>4</c:v>
                </c:pt>
                <c:pt idx="2">
                  <c:v>3</c:v>
                </c:pt>
                <c:pt idx="3">
                  <c:v>1</c:v>
                </c:pt>
                <c:pt idx="4">
                  <c:v>1</c:v>
                </c:pt>
                <c:pt idx="5">
                  <c:v>2</c:v>
                </c:pt>
                <c:pt idx="6">
                  <c:v>3</c:v>
                </c:pt>
                <c:pt idx="7">
                  <c:v>3</c:v>
                </c:pt>
                <c:pt idx="8">
                  <c:v>2</c:v>
                </c:pt>
                <c:pt idx="9">
                  <c:v>3</c:v>
                </c:pt>
                <c:pt idx="10">
                  <c:v>3</c:v>
                </c:pt>
                <c:pt idx="11">
                  <c:v>2</c:v>
                </c:pt>
                <c:pt idx="12">
                  <c:v>2</c:v>
                </c:pt>
                <c:pt idx="13">
                  <c:v>2</c:v>
                </c:pt>
                <c:pt idx="14">
                  <c:v>2</c:v>
                </c:pt>
                <c:pt idx="15">
                  <c:v>2</c:v>
                </c:pt>
                <c:pt idx="16">
                  <c:v>2</c:v>
                </c:pt>
                <c:pt idx="17">
                  <c:v>2</c:v>
                </c:pt>
                <c:pt idx="18">
                  <c:v>2</c:v>
                </c:pt>
                <c:pt idx="19">
                  <c:v>3</c:v>
                </c:pt>
                <c:pt idx="20">
                  <c:v>3</c:v>
                </c:pt>
                <c:pt idx="21">
                  <c:v>3</c:v>
                </c:pt>
                <c:pt idx="22">
                  <c:v>3</c:v>
                </c:pt>
                <c:pt idx="23">
                  <c:v>3</c:v>
                </c:pt>
                <c:pt idx="24">
                  <c:v>3</c:v>
                </c:pt>
                <c:pt idx="25">
                  <c:v>3</c:v>
                </c:pt>
                <c:pt idx="26">
                  <c:v>3</c:v>
                </c:pt>
                <c:pt idx="27">
                  <c:v>2</c:v>
                </c:pt>
                <c:pt idx="28">
                  <c:v>2</c:v>
                </c:pt>
                <c:pt idx="29">
                  <c:v>3</c:v>
                </c:pt>
                <c:pt idx="30">
                  <c:v>2</c:v>
                </c:pt>
                <c:pt idx="31">
                  <c:v>3</c:v>
                </c:pt>
                <c:pt idx="32">
                  <c:v>3</c:v>
                </c:pt>
                <c:pt idx="33">
                  <c:v>2</c:v>
                </c:pt>
                <c:pt idx="34">
                  <c:v>2</c:v>
                </c:pt>
                <c:pt idx="35">
                  <c:v>3</c:v>
                </c:pt>
                <c:pt idx="36">
                  <c:v>2</c:v>
                </c:pt>
                <c:pt idx="37">
                  <c:v>3</c:v>
                </c:pt>
                <c:pt idx="38">
                  <c:v>2</c:v>
                </c:pt>
                <c:pt idx="39">
                  <c:v>3</c:v>
                </c:pt>
              </c:numCache>
            </c:numRef>
          </c:xVal>
          <c:yVal>
            <c:numRef>
              <c:f>task5!$B$2:$B$41</c:f>
              <c:numCache>
                <c:formatCode>General</c:formatCode>
                <c:ptCount val="40"/>
                <c:pt idx="0">
                  <c:v>25</c:v>
                </c:pt>
                <c:pt idx="1">
                  <c:v>25</c:v>
                </c:pt>
                <c:pt idx="2">
                  <c:v>25</c:v>
                </c:pt>
                <c:pt idx="3">
                  <c:v>15</c:v>
                </c:pt>
                <c:pt idx="4">
                  <c:v>25</c:v>
                </c:pt>
                <c:pt idx="5">
                  <c:v>35</c:v>
                </c:pt>
                <c:pt idx="6">
                  <c:v>25</c:v>
                </c:pt>
                <c:pt idx="7">
                  <c:v>25</c:v>
                </c:pt>
                <c:pt idx="8">
                  <c:v>25</c:v>
                </c:pt>
                <c:pt idx="9">
                  <c:v>35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35</c:v>
                </c:pt>
                <c:pt idx="25">
                  <c:v>25</c:v>
                </c:pt>
                <c:pt idx="26">
                  <c:v>25</c:v>
                </c:pt>
                <c:pt idx="27">
                  <c:v>25</c:v>
                </c:pt>
                <c:pt idx="28">
                  <c:v>25</c:v>
                </c:pt>
                <c:pt idx="29">
                  <c:v>15</c:v>
                </c:pt>
                <c:pt idx="30">
                  <c:v>15</c:v>
                </c:pt>
                <c:pt idx="31">
                  <c:v>25</c:v>
                </c:pt>
                <c:pt idx="32">
                  <c:v>35</c:v>
                </c:pt>
                <c:pt idx="33">
                  <c:v>25</c:v>
                </c:pt>
                <c:pt idx="34">
                  <c:v>25</c:v>
                </c:pt>
                <c:pt idx="35">
                  <c:v>25</c:v>
                </c:pt>
                <c:pt idx="36">
                  <c:v>25</c:v>
                </c:pt>
                <c:pt idx="37">
                  <c:v>35</c:v>
                </c:pt>
                <c:pt idx="38">
                  <c:v>25</c:v>
                </c:pt>
                <c:pt idx="39">
                  <c:v>25</c:v>
                </c:pt>
              </c:numCache>
            </c:numRef>
          </c:yVal>
          <c:smooth val="0"/>
          <c:extLst>
            <c:ext xmlns:c16="http://schemas.microsoft.com/office/drawing/2014/chart" uri="{C3380CC4-5D6E-409C-BE32-E72D297353CC}">
              <c16:uniqueId val="{00000000-9041-46EE-B0C6-0BB6495A63B5}"/>
            </c:ext>
          </c:extLst>
        </c:ser>
        <c:ser>
          <c:idx val="1"/>
          <c:order val="1"/>
          <c:tx>
            <c:strRef>
              <c:f>task5!$B$1</c:f>
              <c:strCache>
                <c:ptCount val="1"/>
                <c:pt idx="0">
                  <c:v>Expect_num</c:v>
                </c:pt>
              </c:strCache>
            </c:strRef>
          </c:tx>
          <c:spPr>
            <a:ln w="25400" cap="rnd">
              <a:noFill/>
            </a:ln>
            <a:effectLst>
              <a:glow rad="139700">
                <a:schemeClr val="accent2">
                  <a:satMod val="175000"/>
                  <a:alpha val="14000"/>
                </a:schemeClr>
              </a:glow>
            </a:effectLst>
          </c:spPr>
          <c:marker>
            <c:symbol val="circle"/>
            <c:size val="3"/>
            <c:spPr>
              <a:solidFill>
                <a:schemeClr val="accent2">
                  <a:lumMod val="60000"/>
                  <a:lumOff val="40000"/>
                </a:schemeClr>
              </a:solidFill>
              <a:ln>
                <a:noFill/>
              </a:ln>
              <a:effectLst>
                <a:glow rad="63500">
                  <a:schemeClr val="accent2">
                    <a:satMod val="175000"/>
                    <a:alpha val="25000"/>
                  </a:schemeClr>
                </a:glow>
              </a:effectLst>
            </c:spPr>
          </c:marker>
          <c:yVal>
            <c:numRef>
              <c:f>task5!$B$2:$B$41</c:f>
              <c:numCache>
                <c:formatCode>General</c:formatCode>
                <c:ptCount val="40"/>
                <c:pt idx="0">
                  <c:v>25</c:v>
                </c:pt>
                <c:pt idx="1">
                  <c:v>25</c:v>
                </c:pt>
                <c:pt idx="2">
                  <c:v>25</c:v>
                </c:pt>
                <c:pt idx="3">
                  <c:v>15</c:v>
                </c:pt>
                <c:pt idx="4">
                  <c:v>25</c:v>
                </c:pt>
                <c:pt idx="5">
                  <c:v>35</c:v>
                </c:pt>
                <c:pt idx="6">
                  <c:v>25</c:v>
                </c:pt>
                <c:pt idx="7">
                  <c:v>25</c:v>
                </c:pt>
                <c:pt idx="8">
                  <c:v>25</c:v>
                </c:pt>
                <c:pt idx="9">
                  <c:v>35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35</c:v>
                </c:pt>
                <c:pt idx="25">
                  <c:v>25</c:v>
                </c:pt>
                <c:pt idx="26">
                  <c:v>25</c:v>
                </c:pt>
                <c:pt idx="27">
                  <c:v>25</c:v>
                </c:pt>
                <c:pt idx="28">
                  <c:v>25</c:v>
                </c:pt>
                <c:pt idx="29">
                  <c:v>15</c:v>
                </c:pt>
                <c:pt idx="30">
                  <c:v>15</c:v>
                </c:pt>
                <c:pt idx="31">
                  <c:v>25</c:v>
                </c:pt>
                <c:pt idx="32">
                  <c:v>35</c:v>
                </c:pt>
                <c:pt idx="33">
                  <c:v>25</c:v>
                </c:pt>
                <c:pt idx="34">
                  <c:v>25</c:v>
                </c:pt>
                <c:pt idx="35">
                  <c:v>25</c:v>
                </c:pt>
                <c:pt idx="36">
                  <c:v>25</c:v>
                </c:pt>
                <c:pt idx="37">
                  <c:v>35</c:v>
                </c:pt>
                <c:pt idx="38">
                  <c:v>25</c:v>
                </c:pt>
                <c:pt idx="39">
                  <c:v>25</c:v>
                </c:pt>
              </c:numCache>
            </c:numRef>
          </c:yVal>
          <c:smooth val="0"/>
          <c:extLst>
            <c:ext xmlns:c16="http://schemas.microsoft.com/office/drawing/2014/chart" uri="{C3380CC4-5D6E-409C-BE32-E72D297353CC}">
              <c16:uniqueId val="{00000001-9041-46EE-B0C6-0BB6495A63B5}"/>
            </c:ext>
          </c:extLst>
        </c:ser>
        <c:dLbls>
          <c:showLegendKey val="0"/>
          <c:showVal val="0"/>
          <c:showCatName val="0"/>
          <c:showSerName val="0"/>
          <c:showPercent val="0"/>
          <c:showBubbleSize val="0"/>
        </c:dLbls>
        <c:axId val="1346559872"/>
        <c:axId val="1346579552"/>
      </c:scatterChart>
      <c:valAx>
        <c:axId val="1346559872"/>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sz="1200" b="1">
                    <a:solidFill>
                      <a:schemeClr val="bg1"/>
                    </a:solidFill>
                  </a:rPr>
                  <a:t>Duration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46579552"/>
        <c:crosses val="autoZero"/>
        <c:crossBetween val="midCat"/>
      </c:valAx>
      <c:valAx>
        <c:axId val="1346579552"/>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sz="1200" b="1">
                    <a:solidFill>
                      <a:schemeClr val="bg1"/>
                    </a:solidFill>
                  </a:rPr>
                  <a:t>Expect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4655987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Age vs Investment Duration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task5!$F$1</c:f>
              <c:strCache>
                <c:ptCount val="1"/>
                <c:pt idx="0">
                  <c:v>age</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task5!$F$2:$F$41</c:f>
              <c:numCache>
                <c:formatCode>General</c:formatCode>
                <c:ptCount val="40"/>
                <c:pt idx="0">
                  <c:v>34</c:v>
                </c:pt>
                <c:pt idx="1">
                  <c:v>23</c:v>
                </c:pt>
                <c:pt idx="2">
                  <c:v>30</c:v>
                </c:pt>
                <c:pt idx="3">
                  <c:v>22</c:v>
                </c:pt>
                <c:pt idx="4">
                  <c:v>24</c:v>
                </c:pt>
                <c:pt idx="5">
                  <c:v>24</c:v>
                </c:pt>
                <c:pt idx="6">
                  <c:v>27</c:v>
                </c:pt>
                <c:pt idx="7">
                  <c:v>21</c:v>
                </c:pt>
                <c:pt idx="8">
                  <c:v>35</c:v>
                </c:pt>
                <c:pt idx="9">
                  <c:v>31</c:v>
                </c:pt>
                <c:pt idx="10">
                  <c:v>35</c:v>
                </c:pt>
                <c:pt idx="11">
                  <c:v>29</c:v>
                </c:pt>
                <c:pt idx="12">
                  <c:v>21</c:v>
                </c:pt>
                <c:pt idx="13">
                  <c:v>28</c:v>
                </c:pt>
                <c:pt idx="14">
                  <c:v>25</c:v>
                </c:pt>
                <c:pt idx="15">
                  <c:v>27</c:v>
                </c:pt>
                <c:pt idx="16">
                  <c:v>28</c:v>
                </c:pt>
                <c:pt idx="17">
                  <c:v>27</c:v>
                </c:pt>
                <c:pt idx="18">
                  <c:v>29</c:v>
                </c:pt>
                <c:pt idx="19">
                  <c:v>26</c:v>
                </c:pt>
                <c:pt idx="20">
                  <c:v>29</c:v>
                </c:pt>
                <c:pt idx="21">
                  <c:v>24</c:v>
                </c:pt>
                <c:pt idx="22">
                  <c:v>27</c:v>
                </c:pt>
                <c:pt idx="23">
                  <c:v>25</c:v>
                </c:pt>
                <c:pt idx="24">
                  <c:v>26</c:v>
                </c:pt>
                <c:pt idx="25">
                  <c:v>32</c:v>
                </c:pt>
                <c:pt idx="26">
                  <c:v>26</c:v>
                </c:pt>
                <c:pt idx="27">
                  <c:v>31</c:v>
                </c:pt>
                <c:pt idx="28">
                  <c:v>29</c:v>
                </c:pt>
                <c:pt idx="29">
                  <c:v>34</c:v>
                </c:pt>
                <c:pt idx="30">
                  <c:v>27</c:v>
                </c:pt>
                <c:pt idx="31">
                  <c:v>31</c:v>
                </c:pt>
                <c:pt idx="32">
                  <c:v>27</c:v>
                </c:pt>
                <c:pt idx="33">
                  <c:v>26</c:v>
                </c:pt>
                <c:pt idx="34">
                  <c:v>27</c:v>
                </c:pt>
                <c:pt idx="35">
                  <c:v>30</c:v>
                </c:pt>
                <c:pt idx="36">
                  <c:v>30</c:v>
                </c:pt>
                <c:pt idx="37">
                  <c:v>25</c:v>
                </c:pt>
                <c:pt idx="38">
                  <c:v>31</c:v>
                </c:pt>
                <c:pt idx="39">
                  <c:v>29</c:v>
                </c:pt>
              </c:numCache>
            </c:numRef>
          </c:xVal>
          <c:yVal>
            <c:numRef>
              <c:f>task5!$A$2:$A$41</c:f>
              <c:numCache>
                <c:formatCode>General</c:formatCode>
                <c:ptCount val="40"/>
                <c:pt idx="0">
                  <c:v>2</c:v>
                </c:pt>
                <c:pt idx="1">
                  <c:v>4</c:v>
                </c:pt>
                <c:pt idx="2">
                  <c:v>3</c:v>
                </c:pt>
                <c:pt idx="3">
                  <c:v>1</c:v>
                </c:pt>
                <c:pt idx="4">
                  <c:v>1</c:v>
                </c:pt>
                <c:pt idx="5">
                  <c:v>2</c:v>
                </c:pt>
                <c:pt idx="6">
                  <c:v>3</c:v>
                </c:pt>
                <c:pt idx="7">
                  <c:v>3</c:v>
                </c:pt>
                <c:pt idx="8">
                  <c:v>2</c:v>
                </c:pt>
                <c:pt idx="9">
                  <c:v>3</c:v>
                </c:pt>
                <c:pt idx="10">
                  <c:v>3</c:v>
                </c:pt>
                <c:pt idx="11">
                  <c:v>2</c:v>
                </c:pt>
                <c:pt idx="12">
                  <c:v>2</c:v>
                </c:pt>
                <c:pt idx="13">
                  <c:v>2</c:v>
                </c:pt>
                <c:pt idx="14">
                  <c:v>2</c:v>
                </c:pt>
                <c:pt idx="15">
                  <c:v>2</c:v>
                </c:pt>
                <c:pt idx="16">
                  <c:v>2</c:v>
                </c:pt>
                <c:pt idx="17">
                  <c:v>2</c:v>
                </c:pt>
                <c:pt idx="18">
                  <c:v>2</c:v>
                </c:pt>
                <c:pt idx="19">
                  <c:v>3</c:v>
                </c:pt>
                <c:pt idx="20">
                  <c:v>3</c:v>
                </c:pt>
                <c:pt idx="21">
                  <c:v>3</c:v>
                </c:pt>
                <c:pt idx="22">
                  <c:v>3</c:v>
                </c:pt>
                <c:pt idx="23">
                  <c:v>3</c:v>
                </c:pt>
                <c:pt idx="24">
                  <c:v>3</c:v>
                </c:pt>
                <c:pt idx="25">
                  <c:v>3</c:v>
                </c:pt>
                <c:pt idx="26">
                  <c:v>3</c:v>
                </c:pt>
                <c:pt idx="27">
                  <c:v>2</c:v>
                </c:pt>
                <c:pt idx="28">
                  <c:v>2</c:v>
                </c:pt>
                <c:pt idx="29">
                  <c:v>3</c:v>
                </c:pt>
                <c:pt idx="30">
                  <c:v>2</c:v>
                </c:pt>
                <c:pt idx="31">
                  <c:v>3</c:v>
                </c:pt>
                <c:pt idx="32">
                  <c:v>3</c:v>
                </c:pt>
                <c:pt idx="33">
                  <c:v>2</c:v>
                </c:pt>
                <c:pt idx="34">
                  <c:v>2</c:v>
                </c:pt>
                <c:pt idx="35">
                  <c:v>3</c:v>
                </c:pt>
                <c:pt idx="36">
                  <c:v>2</c:v>
                </c:pt>
                <c:pt idx="37">
                  <c:v>3</c:v>
                </c:pt>
                <c:pt idx="38">
                  <c:v>2</c:v>
                </c:pt>
                <c:pt idx="39">
                  <c:v>3</c:v>
                </c:pt>
              </c:numCache>
            </c:numRef>
          </c:yVal>
          <c:smooth val="0"/>
          <c:extLst>
            <c:ext xmlns:c16="http://schemas.microsoft.com/office/drawing/2014/chart" uri="{C3380CC4-5D6E-409C-BE32-E72D297353CC}">
              <c16:uniqueId val="{00000000-EDD1-455B-9440-BD489972A526}"/>
            </c:ext>
          </c:extLst>
        </c:ser>
        <c:dLbls>
          <c:showLegendKey val="0"/>
          <c:showVal val="0"/>
          <c:showCatName val="0"/>
          <c:showSerName val="0"/>
          <c:showPercent val="0"/>
          <c:showBubbleSize val="0"/>
        </c:dLbls>
        <c:axId val="1346530112"/>
        <c:axId val="1346553152"/>
      </c:scatterChart>
      <c:valAx>
        <c:axId val="1346530112"/>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sz="1200">
                    <a:solidFill>
                      <a:schemeClr val="bg1"/>
                    </a:solidFill>
                  </a:rPr>
                  <a:t>Age</a:t>
                </a:r>
              </a:p>
            </c:rich>
          </c:tx>
          <c:layout>
            <c:manualLayout>
              <c:xMode val="edge"/>
              <c:yMode val="edge"/>
              <c:x val="0.47876968503937006"/>
              <c:y val="0.8843285214348206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46553152"/>
        <c:crosses val="autoZero"/>
        <c:crossBetween val="midCat"/>
      </c:valAx>
      <c:valAx>
        <c:axId val="1346553152"/>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sz="1200">
                    <a:solidFill>
                      <a:schemeClr val="bg1"/>
                    </a:solidFill>
                  </a:rPr>
                  <a:t>Duration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4653011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Investment</a:t>
            </a:r>
            <a:r>
              <a:rPr lang="en-US" sz="1400" baseline="0"/>
              <a:t> Behaviour Analysis</a:t>
            </a:r>
            <a:endParaRPr lang="en-US" sz="14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ubbleChart>
        <c:varyColors val="0"/>
        <c:ser>
          <c:idx val="0"/>
          <c:order val="0"/>
          <c:tx>
            <c:strRef>
              <c:f>task5!$B$1</c:f>
              <c:strCache>
                <c:ptCount val="1"/>
                <c:pt idx="0">
                  <c:v>Expect_num</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xVal>
            <c:numRef>
              <c:f>task5!$A$2:$A$41</c:f>
              <c:numCache>
                <c:formatCode>General</c:formatCode>
                <c:ptCount val="40"/>
                <c:pt idx="0">
                  <c:v>2</c:v>
                </c:pt>
                <c:pt idx="1">
                  <c:v>4</c:v>
                </c:pt>
                <c:pt idx="2">
                  <c:v>3</c:v>
                </c:pt>
                <c:pt idx="3">
                  <c:v>1</c:v>
                </c:pt>
                <c:pt idx="4">
                  <c:v>1</c:v>
                </c:pt>
                <c:pt idx="5">
                  <c:v>2</c:v>
                </c:pt>
                <c:pt idx="6">
                  <c:v>3</c:v>
                </c:pt>
                <c:pt idx="7">
                  <c:v>3</c:v>
                </c:pt>
                <c:pt idx="8">
                  <c:v>2</c:v>
                </c:pt>
                <c:pt idx="9">
                  <c:v>3</c:v>
                </c:pt>
                <c:pt idx="10">
                  <c:v>3</c:v>
                </c:pt>
                <c:pt idx="11">
                  <c:v>2</c:v>
                </c:pt>
                <c:pt idx="12">
                  <c:v>2</c:v>
                </c:pt>
                <c:pt idx="13">
                  <c:v>2</c:v>
                </c:pt>
                <c:pt idx="14">
                  <c:v>2</c:v>
                </c:pt>
                <c:pt idx="15">
                  <c:v>2</c:v>
                </c:pt>
                <c:pt idx="16">
                  <c:v>2</c:v>
                </c:pt>
                <c:pt idx="17">
                  <c:v>2</c:v>
                </c:pt>
                <c:pt idx="18">
                  <c:v>2</c:v>
                </c:pt>
                <c:pt idx="19">
                  <c:v>3</c:v>
                </c:pt>
                <c:pt idx="20">
                  <c:v>3</c:v>
                </c:pt>
                <c:pt idx="21">
                  <c:v>3</c:v>
                </c:pt>
                <c:pt idx="22">
                  <c:v>3</c:v>
                </c:pt>
                <c:pt idx="23">
                  <c:v>3</c:v>
                </c:pt>
                <c:pt idx="24">
                  <c:v>3</c:v>
                </c:pt>
                <c:pt idx="25">
                  <c:v>3</c:v>
                </c:pt>
                <c:pt idx="26">
                  <c:v>3</c:v>
                </c:pt>
                <c:pt idx="27">
                  <c:v>2</c:v>
                </c:pt>
                <c:pt idx="28">
                  <c:v>2</c:v>
                </c:pt>
                <c:pt idx="29">
                  <c:v>3</c:v>
                </c:pt>
                <c:pt idx="30">
                  <c:v>2</c:v>
                </c:pt>
                <c:pt idx="31">
                  <c:v>3</c:v>
                </c:pt>
                <c:pt idx="32">
                  <c:v>3</c:v>
                </c:pt>
                <c:pt idx="33">
                  <c:v>2</c:v>
                </c:pt>
                <c:pt idx="34">
                  <c:v>2</c:v>
                </c:pt>
                <c:pt idx="35">
                  <c:v>3</c:v>
                </c:pt>
                <c:pt idx="36">
                  <c:v>2</c:v>
                </c:pt>
                <c:pt idx="37">
                  <c:v>3</c:v>
                </c:pt>
                <c:pt idx="38">
                  <c:v>2</c:v>
                </c:pt>
                <c:pt idx="39">
                  <c:v>3</c:v>
                </c:pt>
              </c:numCache>
            </c:numRef>
          </c:xVal>
          <c:yVal>
            <c:numRef>
              <c:f>task5!$B$2:$B$41</c:f>
              <c:numCache>
                <c:formatCode>General</c:formatCode>
                <c:ptCount val="40"/>
                <c:pt idx="0">
                  <c:v>25</c:v>
                </c:pt>
                <c:pt idx="1">
                  <c:v>25</c:v>
                </c:pt>
                <c:pt idx="2">
                  <c:v>25</c:v>
                </c:pt>
                <c:pt idx="3">
                  <c:v>15</c:v>
                </c:pt>
                <c:pt idx="4">
                  <c:v>25</c:v>
                </c:pt>
                <c:pt idx="5">
                  <c:v>35</c:v>
                </c:pt>
                <c:pt idx="6">
                  <c:v>25</c:v>
                </c:pt>
                <c:pt idx="7">
                  <c:v>25</c:v>
                </c:pt>
                <c:pt idx="8">
                  <c:v>25</c:v>
                </c:pt>
                <c:pt idx="9">
                  <c:v>35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35</c:v>
                </c:pt>
                <c:pt idx="25">
                  <c:v>25</c:v>
                </c:pt>
                <c:pt idx="26">
                  <c:v>25</c:v>
                </c:pt>
                <c:pt idx="27">
                  <c:v>25</c:v>
                </c:pt>
                <c:pt idx="28">
                  <c:v>25</c:v>
                </c:pt>
                <c:pt idx="29">
                  <c:v>15</c:v>
                </c:pt>
                <c:pt idx="30">
                  <c:v>15</c:v>
                </c:pt>
                <c:pt idx="31">
                  <c:v>25</c:v>
                </c:pt>
                <c:pt idx="32">
                  <c:v>35</c:v>
                </c:pt>
                <c:pt idx="33">
                  <c:v>25</c:v>
                </c:pt>
                <c:pt idx="34">
                  <c:v>25</c:v>
                </c:pt>
                <c:pt idx="35">
                  <c:v>25</c:v>
                </c:pt>
                <c:pt idx="36">
                  <c:v>25</c:v>
                </c:pt>
                <c:pt idx="37">
                  <c:v>35</c:v>
                </c:pt>
                <c:pt idx="38">
                  <c:v>25</c:v>
                </c:pt>
                <c:pt idx="39">
                  <c:v>25</c:v>
                </c:pt>
              </c:numCache>
            </c:numRef>
          </c:yVal>
          <c:bubbleSize>
            <c:numRef>
              <c:f>task5!$F$2:$F$41</c:f>
              <c:numCache>
                <c:formatCode>General</c:formatCode>
                <c:ptCount val="40"/>
                <c:pt idx="0">
                  <c:v>34</c:v>
                </c:pt>
                <c:pt idx="1">
                  <c:v>23</c:v>
                </c:pt>
                <c:pt idx="2">
                  <c:v>30</c:v>
                </c:pt>
                <c:pt idx="3">
                  <c:v>22</c:v>
                </c:pt>
                <c:pt idx="4">
                  <c:v>24</c:v>
                </c:pt>
                <c:pt idx="5">
                  <c:v>24</c:v>
                </c:pt>
                <c:pt idx="6">
                  <c:v>27</c:v>
                </c:pt>
                <c:pt idx="7">
                  <c:v>21</c:v>
                </c:pt>
                <c:pt idx="8">
                  <c:v>35</c:v>
                </c:pt>
                <c:pt idx="9">
                  <c:v>31</c:v>
                </c:pt>
                <c:pt idx="10">
                  <c:v>35</c:v>
                </c:pt>
                <c:pt idx="11">
                  <c:v>29</c:v>
                </c:pt>
                <c:pt idx="12">
                  <c:v>21</c:v>
                </c:pt>
                <c:pt idx="13">
                  <c:v>28</c:v>
                </c:pt>
                <c:pt idx="14">
                  <c:v>25</c:v>
                </c:pt>
                <c:pt idx="15">
                  <c:v>27</c:v>
                </c:pt>
                <c:pt idx="16">
                  <c:v>28</c:v>
                </c:pt>
                <c:pt idx="17">
                  <c:v>27</c:v>
                </c:pt>
                <c:pt idx="18">
                  <c:v>29</c:v>
                </c:pt>
                <c:pt idx="19">
                  <c:v>26</c:v>
                </c:pt>
                <c:pt idx="20">
                  <c:v>29</c:v>
                </c:pt>
                <c:pt idx="21">
                  <c:v>24</c:v>
                </c:pt>
                <c:pt idx="22">
                  <c:v>27</c:v>
                </c:pt>
                <c:pt idx="23">
                  <c:v>25</c:v>
                </c:pt>
                <c:pt idx="24">
                  <c:v>26</c:v>
                </c:pt>
                <c:pt idx="25">
                  <c:v>32</c:v>
                </c:pt>
                <c:pt idx="26">
                  <c:v>26</c:v>
                </c:pt>
                <c:pt idx="27">
                  <c:v>31</c:v>
                </c:pt>
                <c:pt idx="28">
                  <c:v>29</c:v>
                </c:pt>
                <c:pt idx="29">
                  <c:v>34</c:v>
                </c:pt>
                <c:pt idx="30">
                  <c:v>27</c:v>
                </c:pt>
                <c:pt idx="31">
                  <c:v>31</c:v>
                </c:pt>
                <c:pt idx="32">
                  <c:v>27</c:v>
                </c:pt>
                <c:pt idx="33">
                  <c:v>26</c:v>
                </c:pt>
                <c:pt idx="34">
                  <c:v>27</c:v>
                </c:pt>
                <c:pt idx="35">
                  <c:v>30</c:v>
                </c:pt>
                <c:pt idx="36">
                  <c:v>30</c:v>
                </c:pt>
                <c:pt idx="37">
                  <c:v>25</c:v>
                </c:pt>
                <c:pt idx="38">
                  <c:v>31</c:v>
                </c:pt>
                <c:pt idx="39">
                  <c:v>29</c:v>
                </c:pt>
              </c:numCache>
            </c:numRef>
          </c:bubbleSize>
          <c:bubble3D val="1"/>
          <c:extLst>
            <c:ext xmlns:c16="http://schemas.microsoft.com/office/drawing/2014/chart" uri="{C3380CC4-5D6E-409C-BE32-E72D297353CC}">
              <c16:uniqueId val="{00000000-7337-4651-8A3A-B936042B9819}"/>
            </c:ext>
          </c:extLst>
        </c:ser>
        <c:dLbls>
          <c:dLblPos val="ctr"/>
          <c:showLegendKey val="0"/>
          <c:showVal val="1"/>
          <c:showCatName val="0"/>
          <c:showSerName val="0"/>
          <c:showPercent val="0"/>
          <c:showBubbleSize val="0"/>
        </c:dLbls>
        <c:bubbleScale val="100"/>
        <c:showNegBubbles val="0"/>
        <c:axId val="1126545760"/>
        <c:axId val="1126548640"/>
      </c:bubbleChart>
      <c:valAx>
        <c:axId val="112654576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US" sz="1200">
                    <a:solidFill>
                      <a:schemeClr val="bg1"/>
                    </a:solidFill>
                  </a:rPr>
                  <a:t>Investment</a:t>
                </a:r>
                <a:r>
                  <a:rPr lang="en-US" sz="1200" baseline="0">
                    <a:solidFill>
                      <a:schemeClr val="bg1"/>
                    </a:solidFill>
                  </a:rPr>
                  <a:t> Duration</a:t>
                </a:r>
                <a:endParaRPr lang="en-US" sz="1200">
                  <a:solidFill>
                    <a:schemeClr val="bg1"/>
                  </a:solidFill>
                </a:endParaRP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26548640"/>
        <c:crosses val="autoZero"/>
        <c:crossBetween val="midCat"/>
      </c:valAx>
      <c:valAx>
        <c:axId val="112654864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US" sz="1200">
                    <a:solidFill>
                      <a:schemeClr val="bg1"/>
                    </a:solidFill>
                  </a:rPr>
                  <a:t>Expected</a:t>
                </a:r>
                <a:r>
                  <a:rPr lang="en-US" sz="1200" baseline="0">
                    <a:solidFill>
                      <a:schemeClr val="bg1"/>
                    </a:solidFill>
                  </a:rPr>
                  <a:t> returns</a:t>
                </a:r>
                <a:endParaRPr lang="en-US" sz="1200">
                  <a:solidFill>
                    <a:schemeClr val="bg1"/>
                  </a:solidFill>
                </a:endParaRP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2654576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[task4&amp;5.xlsx]task1!PivotTable1</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a:t>
            </a:r>
            <a:r>
              <a:rPr lang="en-US" baseline="0"/>
              <a:t>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3793090736784834E-2"/>
          <c:y val="0.24744933567936289"/>
          <c:w val="0.91869123739481373"/>
          <c:h val="0.54050004312841171"/>
        </c:manualLayout>
      </c:layout>
      <c:pie3DChart>
        <c:varyColors val="1"/>
        <c:ser>
          <c:idx val="0"/>
          <c:order val="0"/>
          <c:tx>
            <c:strRef>
              <c:f>task1!$B$3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417D-4411-B75B-7338AC6B26A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417D-4411-B75B-7338AC6B26A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task1!$A$4:$A$6</c:f>
              <c:strCache>
                <c:ptCount val="2"/>
                <c:pt idx="0">
                  <c:v>Female</c:v>
                </c:pt>
                <c:pt idx="1">
                  <c:v>Male</c:v>
                </c:pt>
              </c:strCache>
            </c:strRef>
          </c:cat>
          <c:val>
            <c:numRef>
              <c:f>task1!$B$4:$B$6</c:f>
              <c:numCache>
                <c:formatCode>General</c:formatCode>
                <c:ptCount val="2"/>
                <c:pt idx="0">
                  <c:v>15</c:v>
                </c:pt>
                <c:pt idx="1">
                  <c:v>25</c:v>
                </c:pt>
              </c:numCache>
            </c:numRef>
          </c:val>
          <c:extLst>
            <c:ext xmlns:c16="http://schemas.microsoft.com/office/drawing/2014/chart" uri="{C3380CC4-5D6E-409C-BE32-E72D297353CC}">
              <c16:uniqueId val="{00000004-417D-4411-B75B-7338AC6B26AE}"/>
            </c:ext>
          </c:extLst>
        </c:ser>
        <c:dLbls>
          <c:dLblPos val="ctr"/>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[task4&amp;5.xlsx]task2,i!PivotTable17</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Distribution</a:t>
            </a:r>
            <a:r>
              <a:rPr lang="en-US" baseline="0"/>
              <a:t> of Participants Across Investment Avenues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166802425558873E-2"/>
          <c:y val="0.34838018741633198"/>
          <c:w val="0.82433730266475314"/>
          <c:h val="0.17398264975914154"/>
        </c:manualLayout>
      </c:layout>
      <c:barChart>
        <c:barDir val="bar"/>
        <c:grouping val="stacked"/>
        <c:varyColors val="0"/>
        <c:ser>
          <c:idx val="0"/>
          <c:order val="0"/>
          <c:tx>
            <c:strRef>
              <c:f>'task2,i'!$A$3</c:f>
              <c:strCache>
                <c:ptCount val="1"/>
                <c:pt idx="0">
                  <c:v> Equity_Market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'task2,i'!$A$4</c:f>
              <c:strCache>
                <c:ptCount val="1"/>
                <c:pt idx="0">
                  <c:v>Total</c:v>
                </c:pt>
              </c:strCache>
            </c:strRef>
          </c:cat>
          <c:val>
            <c:numRef>
              <c:f>'task2,i'!$A$4</c:f>
              <c:numCache>
                <c:formatCode>General</c:formatCode>
                <c:ptCount val="1"/>
                <c:pt idx="0">
                  <c:v>139</c:v>
                </c:pt>
              </c:numCache>
            </c:numRef>
          </c:val>
          <c:extLst>
            <c:ext xmlns:c16="http://schemas.microsoft.com/office/drawing/2014/chart" uri="{C3380CC4-5D6E-409C-BE32-E72D297353CC}">
              <c16:uniqueId val="{00000000-B97C-458E-A590-80D88D0F96FB}"/>
            </c:ext>
          </c:extLst>
        </c:ser>
        <c:ser>
          <c:idx val="1"/>
          <c:order val="1"/>
          <c:tx>
            <c:strRef>
              <c:f>'task2,i'!$B$3</c:f>
              <c:strCache>
                <c:ptCount val="1"/>
                <c:pt idx="0">
                  <c:v>Sum of Debentures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'task2,i'!$A$4</c:f>
              <c:strCache>
                <c:ptCount val="1"/>
                <c:pt idx="0">
                  <c:v>Total</c:v>
                </c:pt>
              </c:strCache>
            </c:strRef>
          </c:cat>
          <c:val>
            <c:numRef>
              <c:f>'task2,i'!$B$4</c:f>
              <c:numCache>
                <c:formatCode>General</c:formatCode>
                <c:ptCount val="1"/>
                <c:pt idx="0">
                  <c:v>230</c:v>
                </c:pt>
              </c:numCache>
            </c:numRef>
          </c:val>
          <c:extLst>
            <c:ext xmlns:c16="http://schemas.microsoft.com/office/drawing/2014/chart" uri="{C3380CC4-5D6E-409C-BE32-E72D297353CC}">
              <c16:uniqueId val="{00000001-B97C-458E-A590-80D88D0F96FB}"/>
            </c:ext>
          </c:extLst>
        </c:ser>
        <c:ser>
          <c:idx val="2"/>
          <c:order val="2"/>
          <c:tx>
            <c:strRef>
              <c:f>'task2,i'!$C$3</c:f>
              <c:strCache>
                <c:ptCount val="1"/>
                <c:pt idx="0">
                  <c:v>Sum of Government_Bonds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'task2,i'!$A$4</c:f>
              <c:strCache>
                <c:ptCount val="1"/>
                <c:pt idx="0">
                  <c:v>Total</c:v>
                </c:pt>
              </c:strCache>
            </c:strRef>
          </c:cat>
          <c:val>
            <c:numRef>
              <c:f>'task2,i'!$C$4</c:f>
              <c:numCache>
                <c:formatCode>General</c:formatCode>
                <c:ptCount val="1"/>
                <c:pt idx="0">
                  <c:v>186</c:v>
                </c:pt>
              </c:numCache>
            </c:numRef>
          </c:val>
          <c:extLst>
            <c:ext xmlns:c16="http://schemas.microsoft.com/office/drawing/2014/chart" uri="{C3380CC4-5D6E-409C-BE32-E72D297353CC}">
              <c16:uniqueId val="{00000002-B97C-458E-A590-80D88D0F96FB}"/>
            </c:ext>
          </c:extLst>
        </c:ser>
        <c:ser>
          <c:idx val="3"/>
          <c:order val="3"/>
          <c:tx>
            <c:strRef>
              <c:f>'task2,i'!$D$3</c:f>
              <c:strCache>
                <c:ptCount val="1"/>
                <c:pt idx="0">
                  <c:v>Sum of Fixed_Deposits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'task2,i'!$A$4</c:f>
              <c:strCache>
                <c:ptCount val="1"/>
                <c:pt idx="0">
                  <c:v>Total</c:v>
                </c:pt>
              </c:strCache>
            </c:strRef>
          </c:cat>
          <c:val>
            <c:numRef>
              <c:f>'task2,i'!$D$4</c:f>
              <c:numCache>
                <c:formatCode>General</c:formatCode>
                <c:ptCount val="1"/>
                <c:pt idx="0">
                  <c:v>143</c:v>
                </c:pt>
              </c:numCache>
            </c:numRef>
          </c:val>
          <c:extLst>
            <c:ext xmlns:c16="http://schemas.microsoft.com/office/drawing/2014/chart" uri="{C3380CC4-5D6E-409C-BE32-E72D297353CC}">
              <c16:uniqueId val="{00000003-B97C-458E-A590-80D88D0F96FB}"/>
            </c:ext>
          </c:extLst>
        </c:ser>
        <c:ser>
          <c:idx val="4"/>
          <c:order val="4"/>
          <c:tx>
            <c:strRef>
              <c:f>'task2,i'!$E$3</c:f>
              <c:strCache>
                <c:ptCount val="1"/>
                <c:pt idx="0">
                  <c:v>Sum of PPF</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'task2,i'!$A$4</c:f>
              <c:strCache>
                <c:ptCount val="1"/>
                <c:pt idx="0">
                  <c:v>Total</c:v>
                </c:pt>
              </c:strCache>
            </c:strRef>
          </c:cat>
          <c:val>
            <c:numRef>
              <c:f>'task2,i'!$E$4</c:f>
              <c:numCache>
                <c:formatCode>General</c:formatCode>
                <c:ptCount val="1"/>
                <c:pt idx="0">
                  <c:v>81</c:v>
                </c:pt>
              </c:numCache>
            </c:numRef>
          </c:val>
          <c:extLst>
            <c:ext xmlns:c16="http://schemas.microsoft.com/office/drawing/2014/chart" uri="{C3380CC4-5D6E-409C-BE32-E72D297353CC}">
              <c16:uniqueId val="{00000004-B97C-458E-A590-80D88D0F96FB}"/>
            </c:ext>
          </c:extLst>
        </c:ser>
        <c:ser>
          <c:idx val="5"/>
          <c:order val="5"/>
          <c:tx>
            <c:strRef>
              <c:f>'task2,i'!$F$3</c:f>
              <c:strCache>
                <c:ptCount val="1"/>
                <c:pt idx="0">
                  <c:v> Gold</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'task2,i'!$A$4</c:f>
              <c:strCache>
                <c:ptCount val="1"/>
                <c:pt idx="0">
                  <c:v>Total</c:v>
                </c:pt>
              </c:strCache>
            </c:strRef>
          </c:cat>
          <c:val>
            <c:numRef>
              <c:f>'task2,i'!$F$4</c:f>
              <c:numCache>
                <c:formatCode>General</c:formatCode>
                <c:ptCount val="1"/>
                <c:pt idx="0">
                  <c:v>239</c:v>
                </c:pt>
              </c:numCache>
            </c:numRef>
          </c:val>
          <c:extLst>
            <c:ext xmlns:c16="http://schemas.microsoft.com/office/drawing/2014/chart" uri="{C3380CC4-5D6E-409C-BE32-E72D297353CC}">
              <c16:uniqueId val="{00000005-B97C-458E-A590-80D88D0F96FB}"/>
            </c:ext>
          </c:extLst>
        </c:ser>
        <c:ser>
          <c:idx val="6"/>
          <c:order val="6"/>
          <c:tx>
            <c:strRef>
              <c:f>'task2,i'!$G$3</c:f>
              <c:strCache>
                <c:ptCount val="1"/>
                <c:pt idx="0">
                  <c:v> Mutual_Funds</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'task2,i'!$A$4</c:f>
              <c:strCache>
                <c:ptCount val="1"/>
                <c:pt idx="0">
                  <c:v>Total</c:v>
                </c:pt>
              </c:strCache>
            </c:strRef>
          </c:cat>
          <c:val>
            <c:numRef>
              <c:f>'task2,i'!$G$4</c:f>
              <c:numCache>
                <c:formatCode>General</c:formatCode>
                <c:ptCount val="1"/>
                <c:pt idx="0">
                  <c:v>102</c:v>
                </c:pt>
              </c:numCache>
            </c:numRef>
          </c:val>
          <c:extLst>
            <c:ext xmlns:c16="http://schemas.microsoft.com/office/drawing/2014/chart" uri="{C3380CC4-5D6E-409C-BE32-E72D297353CC}">
              <c16:uniqueId val="{00000006-B97C-458E-A590-80D88D0F96FB}"/>
            </c:ext>
          </c:extLst>
        </c:ser>
        <c:dLbls>
          <c:dLblPos val="ctr"/>
          <c:showLegendKey val="0"/>
          <c:showVal val="1"/>
          <c:showCatName val="0"/>
          <c:showSerName val="0"/>
          <c:showPercent val="0"/>
          <c:showBubbleSize val="0"/>
        </c:dLbls>
        <c:gapWidth val="150"/>
        <c:overlap val="100"/>
        <c:axId val="1290428192"/>
        <c:axId val="1290410432"/>
      </c:barChart>
      <c:catAx>
        <c:axId val="129042819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0410432"/>
        <c:crosses val="autoZero"/>
        <c:auto val="1"/>
        <c:lblAlgn val="ctr"/>
        <c:lblOffset val="100"/>
        <c:noMultiLvlLbl val="0"/>
      </c:catAx>
      <c:valAx>
        <c:axId val="1290410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0428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[task4&amp;5.xlsx]task3!PivotTable6</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Distribution</a:t>
            </a:r>
            <a:r>
              <a:rPr lang="en-US" baseline="0"/>
              <a:t> of Savings Objective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1923877732337719"/>
          <c:y val="0.24595618256051327"/>
          <c:w val="0.41320176063263409"/>
          <c:h val="0.5552398658501021"/>
        </c:manualLayout>
      </c:layout>
      <c:doughnutChart>
        <c:varyColors val="1"/>
        <c:ser>
          <c:idx val="0"/>
          <c:order val="0"/>
          <c:tx>
            <c:strRef>
              <c:f>task3!$B$3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4F6-4F33-BF0D-ED2C33543E6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4F6-4F33-BF0D-ED2C33543E6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4F6-4F33-BF0D-ED2C33543E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task3!$A$4:$A$7</c:f>
              <c:strCache>
                <c:ptCount val="3"/>
                <c:pt idx="0">
                  <c:v>Education</c:v>
                </c:pt>
                <c:pt idx="1">
                  <c:v>Health Care</c:v>
                </c:pt>
                <c:pt idx="2">
                  <c:v>Retirement Plan</c:v>
                </c:pt>
              </c:strCache>
            </c:strRef>
          </c:cat>
          <c:val>
            <c:numRef>
              <c:f>task3!$B$4:$B$7</c:f>
              <c:numCache>
                <c:formatCode>General</c:formatCode>
                <c:ptCount val="3"/>
                <c:pt idx="0">
                  <c:v>3</c:v>
                </c:pt>
                <c:pt idx="1">
                  <c:v>13</c:v>
                </c:pt>
                <c:pt idx="2">
                  <c:v>24</c:v>
                </c:pt>
              </c:numCache>
            </c:numRef>
          </c:val>
          <c:extLst>
            <c:ext xmlns:c16="http://schemas.microsoft.com/office/drawing/2014/chart" uri="{C3380CC4-5D6E-409C-BE32-E72D297353CC}">
              <c16:uniqueId val="{00000006-B4F6-4F33-BF0D-ED2C33543E6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[task4&amp;5.xlsx]task4,ii!PivotTable2</c:name>
    <c:fmtId val="6"/>
  </c:pivotSource>
  <c:chart>
    <c:title>
      <c:tx>
        <c:rich>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r>
              <a:rPr lang="en-US" sz="1600" b="1"/>
              <a:t>Participants'</a:t>
            </a:r>
            <a:r>
              <a:rPr lang="en-US" sz="1600" b="1" baseline="0"/>
              <a:t> Investment Expectations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endParaRPr lang="en-US"/>
        </a:p>
      </c:txPr>
    </c:title>
    <c:autoTitleDeleted val="0"/>
    <c:pivotFmts>
      <c:pivotFmt>
        <c:idx val="0"/>
        <c:spPr>
          <a:solidFill>
            <a:schemeClr val="accent1">
              <a:alpha val="69804"/>
            </a:schemeClr>
          </a:solidFill>
          <a:ln w="28575" cap="rnd" cmpd="sng" algn="ctr">
            <a:solidFill>
              <a:schemeClr val="accent1"/>
            </a:solidFill>
            <a:miter lim="800000"/>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69804"/>
            </a:schemeClr>
          </a:solidFill>
          <a:ln w="28575" cap="rnd" cmpd="sng" algn="ctr">
            <a:solidFill>
              <a:schemeClr val="accent1"/>
            </a:solidFill>
            <a:miter lim="800000"/>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'task4,ii'!$B$3</c:f>
              <c:strCache>
                <c:ptCount val="1"/>
                <c:pt idx="0">
                  <c:v>Total</c:v>
                </c:pt>
              </c:strCache>
            </c:strRef>
          </c:tx>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'task4,ii'!$A$4:$A$7</c:f>
              <c:strCache>
                <c:ptCount val="3"/>
                <c:pt idx="0">
                  <c:v>10%-20%</c:v>
                </c:pt>
                <c:pt idx="1">
                  <c:v>20%-30%</c:v>
                </c:pt>
                <c:pt idx="2">
                  <c:v>30%-40%</c:v>
                </c:pt>
              </c:strCache>
            </c:strRef>
          </c:cat>
          <c:val>
            <c:numRef>
              <c:f>'task4,ii'!$B$4:$B$7</c:f>
              <c:numCache>
                <c:formatCode>General</c:formatCode>
                <c:ptCount val="3"/>
                <c:pt idx="0">
                  <c:v>3</c:v>
                </c:pt>
                <c:pt idx="1">
                  <c:v>32</c:v>
                </c:pt>
                <c:pt idx="2">
                  <c:v>5</c:v>
                </c:pt>
              </c:numCache>
            </c:numRef>
          </c:val>
          <c:extLst>
            <c:ext xmlns:c16="http://schemas.microsoft.com/office/drawing/2014/chart" uri="{C3380CC4-5D6E-409C-BE32-E72D297353CC}">
              <c16:uniqueId val="{00000000-D15E-4962-9A60-D5319551F73A}"/>
            </c:ext>
          </c:extLst>
        </c:ser>
        <c:dLbls>
          <c:showLegendKey val="0"/>
          <c:showVal val="1"/>
          <c:showCatName val="0"/>
          <c:showSerName val="0"/>
          <c:showPercent val="0"/>
          <c:showBubbleSize val="0"/>
        </c:dLbls>
        <c:axId val="1126540480"/>
        <c:axId val="1126534240"/>
      </c:radarChart>
      <c:catAx>
        <c:axId val="1126540480"/>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26534240"/>
        <c:crosses val="autoZero"/>
        <c:auto val="1"/>
        <c:lblAlgn val="ctr"/>
        <c:lblOffset val="100"/>
        <c:noMultiLvlLbl val="0"/>
      </c:catAx>
      <c:valAx>
        <c:axId val="1126534240"/>
        <c:scaling>
          <c:orientation val="minMax"/>
        </c:scaling>
        <c:delete val="0"/>
        <c:axPos val="l"/>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26540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Investment</a:t>
            </a:r>
            <a:r>
              <a:rPr lang="en-US" sz="1400" baseline="0"/>
              <a:t> Behaviour Analysis</a:t>
            </a:r>
            <a:endParaRPr lang="en-US" sz="14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ubbleChart>
        <c:varyColors val="0"/>
        <c:ser>
          <c:idx val="0"/>
          <c:order val="0"/>
          <c:tx>
            <c:strRef>
              <c:f>task5!$B$1</c:f>
              <c:strCache>
                <c:ptCount val="1"/>
                <c:pt idx="0">
                  <c:v>Expect_num</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xVal>
            <c:numRef>
              <c:f>task5!$A$2:$A$41</c:f>
              <c:numCache>
                <c:formatCode>General</c:formatCode>
                <c:ptCount val="40"/>
                <c:pt idx="0">
                  <c:v>2</c:v>
                </c:pt>
                <c:pt idx="1">
                  <c:v>4</c:v>
                </c:pt>
                <c:pt idx="2">
                  <c:v>3</c:v>
                </c:pt>
                <c:pt idx="3">
                  <c:v>1</c:v>
                </c:pt>
                <c:pt idx="4">
                  <c:v>1</c:v>
                </c:pt>
                <c:pt idx="5">
                  <c:v>2</c:v>
                </c:pt>
                <c:pt idx="6">
                  <c:v>3</c:v>
                </c:pt>
                <c:pt idx="7">
                  <c:v>3</c:v>
                </c:pt>
                <c:pt idx="8">
                  <c:v>2</c:v>
                </c:pt>
                <c:pt idx="9">
                  <c:v>3</c:v>
                </c:pt>
                <c:pt idx="10">
                  <c:v>3</c:v>
                </c:pt>
                <c:pt idx="11">
                  <c:v>2</c:v>
                </c:pt>
                <c:pt idx="12">
                  <c:v>2</c:v>
                </c:pt>
                <c:pt idx="13">
                  <c:v>2</c:v>
                </c:pt>
                <c:pt idx="14">
                  <c:v>2</c:v>
                </c:pt>
                <c:pt idx="15">
                  <c:v>2</c:v>
                </c:pt>
                <c:pt idx="16">
                  <c:v>2</c:v>
                </c:pt>
                <c:pt idx="17">
                  <c:v>2</c:v>
                </c:pt>
                <c:pt idx="18">
                  <c:v>2</c:v>
                </c:pt>
                <c:pt idx="19">
                  <c:v>3</c:v>
                </c:pt>
                <c:pt idx="20">
                  <c:v>3</c:v>
                </c:pt>
                <c:pt idx="21">
                  <c:v>3</c:v>
                </c:pt>
                <c:pt idx="22">
                  <c:v>3</c:v>
                </c:pt>
                <c:pt idx="23">
                  <c:v>3</c:v>
                </c:pt>
                <c:pt idx="24">
                  <c:v>3</c:v>
                </c:pt>
                <c:pt idx="25">
                  <c:v>3</c:v>
                </c:pt>
                <c:pt idx="26">
                  <c:v>3</c:v>
                </c:pt>
                <c:pt idx="27">
                  <c:v>2</c:v>
                </c:pt>
                <c:pt idx="28">
                  <c:v>2</c:v>
                </c:pt>
                <c:pt idx="29">
                  <c:v>3</c:v>
                </c:pt>
                <c:pt idx="30">
                  <c:v>2</c:v>
                </c:pt>
                <c:pt idx="31">
                  <c:v>3</c:v>
                </c:pt>
                <c:pt idx="32">
                  <c:v>3</c:v>
                </c:pt>
                <c:pt idx="33">
                  <c:v>2</c:v>
                </c:pt>
                <c:pt idx="34">
                  <c:v>2</c:v>
                </c:pt>
                <c:pt idx="35">
                  <c:v>3</c:v>
                </c:pt>
                <c:pt idx="36">
                  <c:v>2</c:v>
                </c:pt>
                <c:pt idx="37">
                  <c:v>3</c:v>
                </c:pt>
                <c:pt idx="38">
                  <c:v>2</c:v>
                </c:pt>
                <c:pt idx="39">
                  <c:v>3</c:v>
                </c:pt>
              </c:numCache>
            </c:numRef>
          </c:xVal>
          <c:yVal>
            <c:numRef>
              <c:f>task5!$B$2:$B$41</c:f>
              <c:numCache>
                <c:formatCode>General</c:formatCode>
                <c:ptCount val="40"/>
                <c:pt idx="0">
                  <c:v>25</c:v>
                </c:pt>
                <c:pt idx="1">
                  <c:v>25</c:v>
                </c:pt>
                <c:pt idx="2">
                  <c:v>25</c:v>
                </c:pt>
                <c:pt idx="3">
                  <c:v>15</c:v>
                </c:pt>
                <c:pt idx="4">
                  <c:v>25</c:v>
                </c:pt>
                <c:pt idx="5">
                  <c:v>35</c:v>
                </c:pt>
                <c:pt idx="6">
                  <c:v>25</c:v>
                </c:pt>
                <c:pt idx="7">
                  <c:v>25</c:v>
                </c:pt>
                <c:pt idx="8">
                  <c:v>25</c:v>
                </c:pt>
                <c:pt idx="9">
                  <c:v>35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35</c:v>
                </c:pt>
                <c:pt idx="25">
                  <c:v>25</c:v>
                </c:pt>
                <c:pt idx="26">
                  <c:v>25</c:v>
                </c:pt>
                <c:pt idx="27">
                  <c:v>25</c:v>
                </c:pt>
                <c:pt idx="28">
                  <c:v>25</c:v>
                </c:pt>
                <c:pt idx="29">
                  <c:v>15</c:v>
                </c:pt>
                <c:pt idx="30">
                  <c:v>15</c:v>
                </c:pt>
                <c:pt idx="31">
                  <c:v>25</c:v>
                </c:pt>
                <c:pt idx="32">
                  <c:v>35</c:v>
                </c:pt>
                <c:pt idx="33">
                  <c:v>25</c:v>
                </c:pt>
                <c:pt idx="34">
                  <c:v>25</c:v>
                </c:pt>
                <c:pt idx="35">
                  <c:v>25</c:v>
                </c:pt>
                <c:pt idx="36">
                  <c:v>25</c:v>
                </c:pt>
                <c:pt idx="37">
                  <c:v>35</c:v>
                </c:pt>
                <c:pt idx="38">
                  <c:v>25</c:v>
                </c:pt>
                <c:pt idx="39">
                  <c:v>25</c:v>
                </c:pt>
              </c:numCache>
            </c:numRef>
          </c:yVal>
          <c:bubbleSize>
            <c:numRef>
              <c:f>task5!$F$2:$F$41</c:f>
              <c:numCache>
                <c:formatCode>General</c:formatCode>
                <c:ptCount val="40"/>
                <c:pt idx="0">
                  <c:v>34</c:v>
                </c:pt>
                <c:pt idx="1">
                  <c:v>23</c:v>
                </c:pt>
                <c:pt idx="2">
                  <c:v>30</c:v>
                </c:pt>
                <c:pt idx="3">
                  <c:v>22</c:v>
                </c:pt>
                <c:pt idx="4">
                  <c:v>24</c:v>
                </c:pt>
                <c:pt idx="5">
                  <c:v>24</c:v>
                </c:pt>
                <c:pt idx="6">
                  <c:v>27</c:v>
                </c:pt>
                <c:pt idx="7">
                  <c:v>21</c:v>
                </c:pt>
                <c:pt idx="8">
                  <c:v>35</c:v>
                </c:pt>
                <c:pt idx="9">
                  <c:v>31</c:v>
                </c:pt>
                <c:pt idx="10">
                  <c:v>35</c:v>
                </c:pt>
                <c:pt idx="11">
                  <c:v>29</c:v>
                </c:pt>
                <c:pt idx="12">
                  <c:v>21</c:v>
                </c:pt>
                <c:pt idx="13">
                  <c:v>28</c:v>
                </c:pt>
                <c:pt idx="14">
                  <c:v>25</c:v>
                </c:pt>
                <c:pt idx="15">
                  <c:v>27</c:v>
                </c:pt>
                <c:pt idx="16">
                  <c:v>28</c:v>
                </c:pt>
                <c:pt idx="17">
                  <c:v>27</c:v>
                </c:pt>
                <c:pt idx="18">
                  <c:v>29</c:v>
                </c:pt>
                <c:pt idx="19">
                  <c:v>26</c:v>
                </c:pt>
                <c:pt idx="20">
                  <c:v>29</c:v>
                </c:pt>
                <c:pt idx="21">
                  <c:v>24</c:v>
                </c:pt>
                <c:pt idx="22">
                  <c:v>27</c:v>
                </c:pt>
                <c:pt idx="23">
                  <c:v>25</c:v>
                </c:pt>
                <c:pt idx="24">
                  <c:v>26</c:v>
                </c:pt>
                <c:pt idx="25">
                  <c:v>32</c:v>
                </c:pt>
                <c:pt idx="26">
                  <c:v>26</c:v>
                </c:pt>
                <c:pt idx="27">
                  <c:v>31</c:v>
                </c:pt>
                <c:pt idx="28">
                  <c:v>29</c:v>
                </c:pt>
                <c:pt idx="29">
                  <c:v>34</c:v>
                </c:pt>
                <c:pt idx="30">
                  <c:v>27</c:v>
                </c:pt>
                <c:pt idx="31">
                  <c:v>31</c:v>
                </c:pt>
                <c:pt idx="32">
                  <c:v>27</c:v>
                </c:pt>
                <c:pt idx="33">
                  <c:v>26</c:v>
                </c:pt>
                <c:pt idx="34">
                  <c:v>27</c:v>
                </c:pt>
                <c:pt idx="35">
                  <c:v>30</c:v>
                </c:pt>
                <c:pt idx="36">
                  <c:v>30</c:v>
                </c:pt>
                <c:pt idx="37">
                  <c:v>25</c:v>
                </c:pt>
                <c:pt idx="38">
                  <c:v>31</c:v>
                </c:pt>
                <c:pt idx="39">
                  <c:v>29</c:v>
                </c:pt>
              </c:numCache>
            </c:numRef>
          </c:bubbleSize>
          <c:bubble3D val="1"/>
          <c:extLst>
            <c:ext xmlns:c16="http://schemas.microsoft.com/office/drawing/2014/chart" uri="{C3380CC4-5D6E-409C-BE32-E72D297353CC}">
              <c16:uniqueId val="{00000000-6443-4379-B269-464D98CEF0AB}"/>
            </c:ext>
          </c:extLst>
        </c:ser>
        <c:dLbls>
          <c:dLblPos val="ctr"/>
          <c:showLegendKey val="0"/>
          <c:showVal val="1"/>
          <c:showCatName val="0"/>
          <c:showSerName val="0"/>
          <c:showPercent val="0"/>
          <c:showBubbleSize val="0"/>
        </c:dLbls>
        <c:bubbleScale val="100"/>
        <c:showNegBubbles val="0"/>
        <c:axId val="1126545760"/>
        <c:axId val="1126548640"/>
      </c:bubbleChart>
      <c:valAx>
        <c:axId val="112654576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US" sz="1200">
                    <a:solidFill>
                      <a:schemeClr val="bg1"/>
                    </a:solidFill>
                  </a:rPr>
                  <a:t>Investment</a:t>
                </a:r>
                <a:r>
                  <a:rPr lang="en-US" sz="1200" baseline="0">
                    <a:solidFill>
                      <a:schemeClr val="bg1"/>
                    </a:solidFill>
                  </a:rPr>
                  <a:t> Duration</a:t>
                </a:r>
                <a:endParaRPr lang="en-US" sz="1200">
                  <a:solidFill>
                    <a:schemeClr val="bg1"/>
                  </a:solidFill>
                </a:endParaRP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26548640"/>
        <c:crosses val="autoZero"/>
        <c:crossBetween val="midCat"/>
      </c:valAx>
      <c:valAx>
        <c:axId val="112654864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US" sz="1200">
                    <a:solidFill>
                      <a:schemeClr val="bg1"/>
                    </a:solidFill>
                  </a:rPr>
                  <a:t>Expected</a:t>
                </a:r>
                <a:r>
                  <a:rPr lang="en-US" sz="1200" baseline="0">
                    <a:solidFill>
                      <a:schemeClr val="bg1"/>
                    </a:solidFill>
                  </a:rPr>
                  <a:t> returns</a:t>
                </a:r>
                <a:endParaRPr lang="en-US" sz="1200">
                  <a:solidFill>
                    <a:schemeClr val="bg1"/>
                  </a:solidFill>
                </a:endParaRP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2654576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_xlchart.v1.0</cx:f>
      </cx:strDim>
      <cx:numDim type="val">
        <cx:f dir="row">_xlchart.v1.1</cx:f>
      </cx:numDim>
    </cx:data>
  </cx:chartData>
  <cx:chart>
    <cx:title pos="t" align="ctr" overlay="0">
      <cx:tx>
        <cx:txData>
          <cx:v>Distribution of Investment Duration</cx:v>
        </cx:txData>
      </cx:tx>
      <cx:txPr>
        <a:bodyPr spcFirstLastPara="1" vertOverflow="ellipsis" horzOverflow="overflow" wrap="square" lIns="0" tIns="0" rIns="0" bIns="0" anchor="ctr" anchorCtr="1"/>
        <a:lstStyle/>
        <a:p>
          <a:pPr algn="ctr" rtl="0">
            <a:defRPr/>
          </a:pPr>
          <a:r>
            <a:rPr lang="en-US" sz="1400" b="1" i="0" u="none" strike="noStrike" baseline="0">
              <a:solidFill>
                <a:schemeClr val="bg1"/>
              </a:solidFill>
              <a:latin typeface="Calibri" panose="020F0502020204030204"/>
            </a:rPr>
            <a:t>Distribution of Investment Duration</a:t>
          </a:r>
        </a:p>
      </cx:txPr>
    </cx:title>
    <cx:plotArea>
      <cx:plotAreaRegion>
        <cx:series layoutId="clusteredColumn" uniqueId="{1ABF8262-CD35-4B3C-8777-FDA3A2368FE1}">
          <cx:dataLabels>
            <cx:visibility seriesName="0" categoryName="0" value="1"/>
          </cx:dataLabels>
          <cx:dataId val="0"/>
          <cx:layoutPr>
            <cx:binning intervalClosed="r"/>
          </cx:layoutPr>
        </cx:series>
      </cx:plotAreaRegion>
      <cx:axis id="0">
        <cx:catScaling gapWidth="0"/>
        <cx:title>
          <cx:tx>
            <cx:txData>
              <cx:v>Duration categories</cx:v>
            </cx:txData>
          </cx:tx>
          <cx:txPr>
            <a:bodyPr spcFirstLastPara="1" vertOverflow="ellipsis" horzOverflow="overflow" wrap="square" lIns="0" tIns="0" rIns="0" bIns="0" anchor="ctr" anchorCtr="1"/>
            <a:lstStyle/>
            <a:p>
              <a:pPr algn="ctr" rtl="0">
                <a:defRPr/>
              </a:pPr>
              <a:r>
                <a:rPr lang="en-US" sz="900" b="1" i="0" u="none" strike="noStrike" baseline="0">
                  <a:solidFill>
                    <a:schemeClr val="bg1"/>
                  </a:solidFill>
                  <a:latin typeface="Calibri" panose="020F0502020204030204"/>
                </a:rPr>
                <a:t>Duration categories</a:t>
              </a:r>
            </a:p>
          </cx:txPr>
        </cx:title>
        <cx:tickLabels/>
      </cx:axis>
      <cx:axis id="1">
        <cx:valScaling/>
        <cx:title>
          <cx:tx>
            <cx:txData>
              <cx:v>Number of Participants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 lastClr="FFFFFF">
                      <a:lumMod val="95000"/>
                    </a:sysClr>
                  </a:solidFill>
                  <a:latin typeface="Calibri" panose="020F0502020204030204"/>
                </a:rPr>
                <a:t>Number of Participants</a:t>
              </a:r>
            </a:p>
          </cx:txPr>
        </cx:title>
        <cx:tickLabels/>
      </cx:axis>
    </cx:plotArea>
    <cx:legend pos="b" align="ctr" overlay="0"/>
  </cx:chart>
</cx: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6.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5" Type="http://schemas.openxmlformats.org/officeDocument/2006/relationships/chart" Target="../charts/chart18.xml"/><Relationship Id="rId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2</xdr:col>
      <xdr:colOff>600075</xdr:colOff>
      <xdr:row>2</xdr:row>
      <xdr:rowOff>4762</xdr:rowOff>
    </xdr:from>
    <xdr:to>
      <xdr:col>10</xdr:col>
      <xdr:colOff>295275</xdr:colOff>
      <xdr:row>16</xdr:row>
      <xdr:rowOff>80962</xdr:rowOff>
    </xdr:to>
    <mc:AlternateContent xmlns:mc="http://schemas.openxmlformats.org/markup-compatibility/2006">
      <mc:Choice xmlns:cx1="http://schemas.microsoft.com/office/drawing/2015/9/8/chartex" Requires="cx1">
        <xdr:graphicFrame macro="">
          <xdr:nvGraphicFramePr>
            <xdr:cNvPr id="2" name="Chart 2">
              <a:extLst>
                <a:ext uri="{FF2B5EF4-FFF2-40B4-BE49-F238E27FC236}">
                  <a16:creationId xmlns:a16="http://schemas.microsoft.com/office/drawing/2014/main" id="{1312A48B-29DF-AA57-93AF-716D1A3E67B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847975" y="385762"/>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133350</xdr:colOff>
      <xdr:row>2</xdr:row>
      <xdr:rowOff>23812</xdr:rowOff>
    </xdr:from>
    <xdr:to>
      <xdr:col>11</xdr:col>
      <xdr:colOff>457200</xdr:colOff>
      <xdr:row>16</xdr:row>
      <xdr:rowOff>100012</xdr:rowOff>
    </xdr:to>
    <xdr:graphicFrame macro="">
      <xdr:nvGraphicFramePr>
        <xdr:cNvPr id="2" name="Chart 1">
          <a:extLst>
            <a:ext uri="{FF2B5EF4-FFF2-40B4-BE49-F238E27FC236}">
              <a16:creationId xmlns:a16="http://schemas.microsoft.com/office/drawing/2014/main" id="{3EE5D557-8F58-EA6F-3B66-24E0203D5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9525</xdr:colOff>
      <xdr:row>2</xdr:row>
      <xdr:rowOff>123825</xdr:rowOff>
    </xdr:from>
    <xdr:to>
      <xdr:col>15</xdr:col>
      <xdr:colOff>9525</xdr:colOff>
      <xdr:row>15</xdr:row>
      <xdr:rowOff>171450</xdr:rowOff>
    </xdr:to>
    <mc:AlternateContent xmlns:mc="http://schemas.openxmlformats.org/markup-compatibility/2006">
      <mc:Choice xmlns:a14="http://schemas.microsoft.com/office/drawing/2010/main" Requires="a14">
        <xdr:graphicFrame macro="">
          <xdr:nvGraphicFramePr>
            <xdr:cNvPr id="3" name="Expect">
              <a:extLst>
                <a:ext uri="{FF2B5EF4-FFF2-40B4-BE49-F238E27FC236}">
                  <a16:creationId xmlns:a16="http://schemas.microsoft.com/office/drawing/2014/main" id="{76B10AB8-8C9D-6467-791C-712EF398A7E1}"/>
                </a:ext>
              </a:extLst>
            </xdr:cNvPr>
            <xdr:cNvGraphicFramePr/>
          </xdr:nvGraphicFramePr>
          <xdr:xfrm>
            <a:off x="0" y="0"/>
            <a:ext cx="0" cy="0"/>
          </xdr:xfrm>
          <a:graphic>
            <a:graphicData uri="http://schemas.microsoft.com/office/drawing/2010/slicer">
              <sle:slicer xmlns:sle="http://schemas.microsoft.com/office/drawing/2010/slicer" name="Expect"/>
            </a:graphicData>
          </a:graphic>
        </xdr:graphicFrame>
      </mc:Choice>
      <mc:Fallback>
        <xdr:sp macro="" textlink="">
          <xdr:nvSpPr>
            <xdr:cNvPr id="0" name=""/>
            <xdr:cNvSpPr>
              <a:spLocks noTextEdit="1"/>
            </xdr:cNvSpPr>
          </xdr:nvSpPr>
          <xdr:spPr>
            <a:xfrm>
              <a:off x="7981950" y="5048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7</xdr:row>
      <xdr:rowOff>4762</xdr:rowOff>
    </xdr:from>
    <xdr:to>
      <xdr:col>7</xdr:col>
      <xdr:colOff>352425</xdr:colOff>
      <xdr:row>21</xdr:row>
      <xdr:rowOff>80962</xdr:rowOff>
    </xdr:to>
    <xdr:graphicFrame macro="">
      <xdr:nvGraphicFramePr>
        <xdr:cNvPr id="2" name="Chart 1">
          <a:extLst>
            <a:ext uri="{FF2B5EF4-FFF2-40B4-BE49-F238E27FC236}">
              <a16:creationId xmlns:a16="http://schemas.microsoft.com/office/drawing/2014/main" id="{846D90D4-469E-99F0-14B7-A3875DAD5B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28575</xdr:colOff>
      <xdr:row>7</xdr:row>
      <xdr:rowOff>9525</xdr:rowOff>
    </xdr:from>
    <xdr:to>
      <xdr:col>15</xdr:col>
      <xdr:colOff>28575</xdr:colOff>
      <xdr:row>20</xdr:row>
      <xdr:rowOff>57150</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DC6E4427-E163-9E89-28F3-5F4CCC628A4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172450" y="13430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19050</xdr:colOff>
      <xdr:row>6</xdr:row>
      <xdr:rowOff>4762</xdr:rowOff>
    </xdr:from>
    <xdr:to>
      <xdr:col>6</xdr:col>
      <xdr:colOff>323850</xdr:colOff>
      <xdr:row>20</xdr:row>
      <xdr:rowOff>80962</xdr:rowOff>
    </xdr:to>
    <xdr:graphicFrame macro="">
      <xdr:nvGraphicFramePr>
        <xdr:cNvPr id="4" name="Chart 3">
          <a:extLst>
            <a:ext uri="{FF2B5EF4-FFF2-40B4-BE49-F238E27FC236}">
              <a16:creationId xmlns:a16="http://schemas.microsoft.com/office/drawing/2014/main" id="{68596FEA-1122-67B5-4ED3-4B0210C9AC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885825</xdr:colOff>
      <xdr:row>7</xdr:row>
      <xdr:rowOff>57150</xdr:rowOff>
    </xdr:from>
    <xdr:to>
      <xdr:col>8</xdr:col>
      <xdr:colOff>885825</xdr:colOff>
      <xdr:row>20</xdr:row>
      <xdr:rowOff>104775</xdr:rowOff>
    </xdr:to>
    <mc:AlternateContent xmlns:mc="http://schemas.openxmlformats.org/markup-compatibility/2006">
      <mc:Choice xmlns:a14="http://schemas.microsoft.com/office/drawing/2010/main" Requires="a14">
        <xdr:graphicFrame macro="">
          <xdr:nvGraphicFramePr>
            <xdr:cNvPr id="7" name="Avenue">
              <a:extLst>
                <a:ext uri="{FF2B5EF4-FFF2-40B4-BE49-F238E27FC236}">
                  <a16:creationId xmlns:a16="http://schemas.microsoft.com/office/drawing/2014/main" id="{59F071B9-BB4E-F4DF-E4AC-7DC9E1C779E7}"/>
                </a:ext>
              </a:extLst>
            </xdr:cNvPr>
            <xdr:cNvGraphicFramePr/>
          </xdr:nvGraphicFramePr>
          <xdr:xfrm>
            <a:off x="0" y="0"/>
            <a:ext cx="0" cy="0"/>
          </xdr:xfrm>
          <a:graphic>
            <a:graphicData uri="http://schemas.microsoft.com/office/drawing/2010/slicer">
              <sle:slicer xmlns:sle="http://schemas.microsoft.com/office/drawing/2010/slicer" name="Avenue"/>
            </a:graphicData>
          </a:graphic>
        </xdr:graphicFrame>
      </mc:Choice>
      <mc:Fallback>
        <xdr:sp macro="" textlink="">
          <xdr:nvSpPr>
            <xdr:cNvPr id="0" name=""/>
            <xdr:cNvSpPr>
              <a:spLocks noTextEdit="1"/>
            </xdr:cNvSpPr>
          </xdr:nvSpPr>
          <xdr:spPr>
            <a:xfrm>
              <a:off x="7343775" y="1390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9525</xdr:colOff>
      <xdr:row>8</xdr:row>
      <xdr:rowOff>42862</xdr:rowOff>
    </xdr:from>
    <xdr:to>
      <xdr:col>3</xdr:col>
      <xdr:colOff>361950</xdr:colOff>
      <xdr:row>22</xdr:row>
      <xdr:rowOff>119062</xdr:rowOff>
    </xdr:to>
    <xdr:graphicFrame macro="">
      <xdr:nvGraphicFramePr>
        <xdr:cNvPr id="2" name="Chart 1">
          <a:extLst>
            <a:ext uri="{FF2B5EF4-FFF2-40B4-BE49-F238E27FC236}">
              <a16:creationId xmlns:a16="http://schemas.microsoft.com/office/drawing/2014/main" id="{7D880FA4-76E4-D18D-F14F-2D7890BC96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180975</xdr:colOff>
      <xdr:row>8</xdr:row>
      <xdr:rowOff>61912</xdr:rowOff>
    </xdr:from>
    <xdr:to>
      <xdr:col>7</xdr:col>
      <xdr:colOff>685800</xdr:colOff>
      <xdr:row>22</xdr:row>
      <xdr:rowOff>138112</xdr:rowOff>
    </xdr:to>
    <xdr:graphicFrame macro="">
      <xdr:nvGraphicFramePr>
        <xdr:cNvPr id="3" name="Chart 2">
          <a:extLst>
            <a:ext uri="{FF2B5EF4-FFF2-40B4-BE49-F238E27FC236}">
              <a16:creationId xmlns:a16="http://schemas.microsoft.com/office/drawing/2014/main" id="{322B9632-2E05-2E30-C9D1-3B0C8D380E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1057275</xdr:colOff>
      <xdr:row>8</xdr:row>
      <xdr:rowOff>33337</xdr:rowOff>
    </xdr:from>
    <xdr:to>
      <xdr:col>12</xdr:col>
      <xdr:colOff>38100</xdr:colOff>
      <xdr:row>22</xdr:row>
      <xdr:rowOff>109537</xdr:rowOff>
    </xdr:to>
    <xdr:graphicFrame macro="">
      <xdr:nvGraphicFramePr>
        <xdr:cNvPr id="4" name="Chart 3">
          <a:extLst>
            <a:ext uri="{FF2B5EF4-FFF2-40B4-BE49-F238E27FC236}">
              <a16:creationId xmlns:a16="http://schemas.microsoft.com/office/drawing/2014/main" id="{317D55D1-8E32-6B59-F0DD-FB22649BD4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485775</xdr:colOff>
      <xdr:row>8</xdr:row>
      <xdr:rowOff>33337</xdr:rowOff>
    </xdr:from>
    <xdr:to>
      <xdr:col>17</xdr:col>
      <xdr:colOff>28575</xdr:colOff>
      <xdr:row>22</xdr:row>
      <xdr:rowOff>109537</xdr:rowOff>
    </xdr:to>
    <xdr:graphicFrame macro="">
      <xdr:nvGraphicFramePr>
        <xdr:cNvPr id="5" name="Chart 4">
          <a:extLst>
            <a:ext uri="{FF2B5EF4-FFF2-40B4-BE49-F238E27FC236}">
              <a16:creationId xmlns:a16="http://schemas.microsoft.com/office/drawing/2014/main" id="{A838832C-008F-A690-514A-DCC9CB6464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19050</xdr:colOff>
      <xdr:row>9</xdr:row>
      <xdr:rowOff>61912</xdr:rowOff>
    </xdr:from>
    <xdr:to>
      <xdr:col>2</xdr:col>
      <xdr:colOff>0</xdr:colOff>
      <xdr:row>23</xdr:row>
      <xdr:rowOff>138112</xdr:rowOff>
    </xdr:to>
    <xdr:graphicFrame macro="">
      <xdr:nvGraphicFramePr>
        <xdr:cNvPr id="2" name="Chart 1">
          <a:extLst>
            <a:ext uri="{FF2B5EF4-FFF2-40B4-BE49-F238E27FC236}">
              <a16:creationId xmlns:a16="http://schemas.microsoft.com/office/drawing/2014/main" id="{1574DBE0-FF64-A573-4A6E-08092CFBF9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590550</xdr:colOff>
      <xdr:row>9</xdr:row>
      <xdr:rowOff>23812</xdr:rowOff>
    </xdr:from>
    <xdr:to>
      <xdr:col>7</xdr:col>
      <xdr:colOff>257175</xdr:colOff>
      <xdr:row>23</xdr:row>
      <xdr:rowOff>100012</xdr:rowOff>
    </xdr:to>
    <xdr:graphicFrame macro="">
      <xdr:nvGraphicFramePr>
        <xdr:cNvPr id="3" name="Chart 2">
          <a:extLst>
            <a:ext uri="{FF2B5EF4-FFF2-40B4-BE49-F238E27FC236}">
              <a16:creationId xmlns:a16="http://schemas.microsoft.com/office/drawing/2014/main" id="{D68559E6-BC3B-E787-9F65-CCDD663320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19050</xdr:colOff>
      <xdr:row>5</xdr:row>
      <xdr:rowOff>47625</xdr:rowOff>
    </xdr:from>
    <xdr:to>
      <xdr:col>13</xdr:col>
      <xdr:colOff>361950</xdr:colOff>
      <xdr:row>18</xdr:row>
      <xdr:rowOff>95250</xdr:rowOff>
    </xdr:to>
    <mc:AlternateContent xmlns:mc="http://schemas.openxmlformats.org/markup-compatibility/2006">
      <mc:Choice xmlns:a14="http://schemas.microsoft.com/office/drawing/2010/main" Requires="a14">
        <xdr:graphicFrame macro="">
          <xdr:nvGraphicFramePr>
            <xdr:cNvPr id="4" name="What are your savings objectives?">
              <a:extLst>
                <a:ext uri="{FF2B5EF4-FFF2-40B4-BE49-F238E27FC236}">
                  <a16:creationId xmlns:a16="http://schemas.microsoft.com/office/drawing/2014/main" id="{896CAD54-B716-012F-CDA6-5E15A60DAA3F}"/>
                </a:ext>
              </a:extLst>
            </xdr:cNvPr>
            <xdr:cNvGraphicFramePr/>
          </xdr:nvGraphicFramePr>
          <xdr:xfrm>
            <a:off x="0" y="0"/>
            <a:ext cx="0" cy="0"/>
          </xdr:xfrm>
          <a:graphic>
            <a:graphicData uri="http://schemas.microsoft.com/office/drawing/2010/slicer">
              <sle:slicer xmlns:sle="http://schemas.microsoft.com/office/drawing/2010/slicer" name="What are your savings objectives?"/>
            </a:graphicData>
          </a:graphic>
        </xdr:graphicFrame>
      </mc:Choice>
      <mc:Fallback>
        <xdr:sp macro="" textlink="">
          <xdr:nvSpPr>
            <xdr:cNvPr id="0" name=""/>
            <xdr:cNvSpPr>
              <a:spLocks noTextEdit="1"/>
            </xdr:cNvSpPr>
          </xdr:nvSpPr>
          <xdr:spPr>
            <a:xfrm>
              <a:off x="10734675" y="10001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9525</xdr:colOff>
      <xdr:row>5</xdr:row>
      <xdr:rowOff>66675</xdr:rowOff>
    </xdr:from>
    <xdr:to>
      <xdr:col>17</xdr:col>
      <xdr:colOff>9525</xdr:colOff>
      <xdr:row>18</xdr:row>
      <xdr:rowOff>114300</xdr:rowOff>
    </xdr:to>
    <mc:AlternateContent xmlns:mc="http://schemas.openxmlformats.org/markup-compatibility/2006">
      <mc:Choice xmlns:a14="http://schemas.microsoft.com/office/drawing/2010/main" Requires="a14">
        <xdr:graphicFrame macro="">
          <xdr:nvGraphicFramePr>
            <xdr:cNvPr id="5" name="gender 2">
              <a:extLst>
                <a:ext uri="{FF2B5EF4-FFF2-40B4-BE49-F238E27FC236}">
                  <a16:creationId xmlns:a16="http://schemas.microsoft.com/office/drawing/2014/main" id="{CE50DA75-8548-1B8C-5716-FC256C09D988}"/>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12820650" y="10191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13</xdr:col>
      <xdr:colOff>285750</xdr:colOff>
      <xdr:row>1</xdr:row>
      <xdr:rowOff>0</xdr:rowOff>
    </xdr:from>
    <xdr:to>
      <xdr:col>19</xdr:col>
      <xdr:colOff>457200</xdr:colOff>
      <xdr:row>13</xdr:row>
      <xdr:rowOff>28576</xdr:rowOff>
    </xdr:to>
    <xdr:graphicFrame macro="">
      <xdr:nvGraphicFramePr>
        <xdr:cNvPr id="3" name="Chart 2">
          <a:extLst>
            <a:ext uri="{FF2B5EF4-FFF2-40B4-BE49-F238E27FC236}">
              <a16:creationId xmlns:a16="http://schemas.microsoft.com/office/drawing/2014/main" id="{7478CD2E-4C1C-ABC6-146B-5ACFBA0EA4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581025</xdr:colOff>
      <xdr:row>14</xdr:row>
      <xdr:rowOff>19050</xdr:rowOff>
    </xdr:from>
    <xdr:to>
      <xdr:col>13</xdr:col>
      <xdr:colOff>85725</xdr:colOff>
      <xdr:row>27</xdr:row>
      <xdr:rowOff>42862</xdr:rowOff>
    </xdr:to>
    <xdr:graphicFrame macro="">
      <xdr:nvGraphicFramePr>
        <xdr:cNvPr id="4" name="Chart 3">
          <a:extLst>
            <a:ext uri="{FF2B5EF4-FFF2-40B4-BE49-F238E27FC236}">
              <a16:creationId xmlns:a16="http://schemas.microsoft.com/office/drawing/2014/main" id="{564045C1-2D90-DB49-1D74-794DC22BE9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590551</xdr:colOff>
      <xdr:row>1</xdr:row>
      <xdr:rowOff>4762</xdr:rowOff>
    </xdr:from>
    <xdr:to>
      <xdr:col>13</xdr:col>
      <xdr:colOff>76201</xdr:colOff>
      <xdr:row>13</xdr:row>
      <xdr:rowOff>9525</xdr:rowOff>
    </xdr:to>
    <xdr:graphicFrame macro="">
      <xdr:nvGraphicFramePr>
        <xdr:cNvPr id="5" name="Chart 4">
          <a:extLst>
            <a:ext uri="{FF2B5EF4-FFF2-40B4-BE49-F238E27FC236}">
              <a16:creationId xmlns:a16="http://schemas.microsoft.com/office/drawing/2014/main" id="{69EC193B-F74A-98D4-CD2D-627DDFF357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342900</xdr:colOff>
      <xdr:row>14</xdr:row>
      <xdr:rowOff>47624</xdr:rowOff>
    </xdr:from>
    <xdr:to>
      <xdr:col>19</xdr:col>
      <xdr:colOff>523875</xdr:colOff>
      <xdr:row>26</xdr:row>
      <xdr:rowOff>171450</xdr:rowOff>
    </xdr:to>
    <xdr:graphicFrame macro="">
      <xdr:nvGraphicFramePr>
        <xdr:cNvPr id="6" name="Chart 5">
          <a:extLst>
            <a:ext uri="{FF2B5EF4-FFF2-40B4-BE49-F238E27FC236}">
              <a16:creationId xmlns:a16="http://schemas.microsoft.com/office/drawing/2014/main" id="{B67B4762-CF49-0391-7178-3588126242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26</xdr:col>
      <xdr:colOff>99172</xdr:colOff>
      <xdr:row>17</xdr:row>
      <xdr:rowOff>43144</xdr:rowOff>
    </xdr:from>
    <xdr:to>
      <xdr:col>29</xdr:col>
      <xdr:colOff>112620</xdr:colOff>
      <xdr:row>30</xdr:row>
      <xdr:rowOff>90769</xdr:rowOff>
    </xdr:to>
    <mc:AlternateContent xmlns:mc="http://schemas.openxmlformats.org/markup-compatibility/2006">
      <mc:Choice xmlns:a14="http://schemas.microsoft.com/office/drawing/2010/main" Requires="a14">
        <xdr:graphicFrame macro="">
          <xdr:nvGraphicFramePr>
            <xdr:cNvPr id="7" name="Duration">
              <a:extLst>
                <a:ext uri="{FF2B5EF4-FFF2-40B4-BE49-F238E27FC236}">
                  <a16:creationId xmlns:a16="http://schemas.microsoft.com/office/drawing/2014/main" id="{CC958618-095F-320F-1F05-8DE4CBB6EDE0}"/>
                </a:ext>
              </a:extLst>
            </xdr:cNvPr>
            <xdr:cNvGraphicFramePr/>
          </xdr:nvGraphicFramePr>
          <xdr:xfrm>
            <a:off x="0" y="0"/>
            <a:ext cx="0" cy="0"/>
          </xdr:xfrm>
          <a:graphic>
            <a:graphicData uri="http://schemas.microsoft.com/office/drawing/2010/slicer">
              <sle:slicer xmlns:sle="http://schemas.microsoft.com/office/drawing/2010/slicer" name="Duration"/>
            </a:graphicData>
          </a:graphic>
        </xdr:graphicFrame>
      </mc:Choice>
      <mc:Fallback>
        <xdr:sp macro="" textlink="">
          <xdr:nvSpPr>
            <xdr:cNvPr id="0" name=""/>
            <xdr:cNvSpPr>
              <a:spLocks noTextEdit="1"/>
            </xdr:cNvSpPr>
          </xdr:nvSpPr>
          <xdr:spPr>
            <a:xfrm>
              <a:off x="19193996" y="3281644"/>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161925</xdr:colOff>
      <xdr:row>2</xdr:row>
      <xdr:rowOff>110379</xdr:rowOff>
    </xdr:from>
    <xdr:to>
      <xdr:col>29</xdr:col>
      <xdr:colOff>175373</xdr:colOff>
      <xdr:row>15</xdr:row>
      <xdr:rowOff>158004</xdr:rowOff>
    </xdr:to>
    <mc:AlternateContent xmlns:mc="http://schemas.openxmlformats.org/markup-compatibility/2006">
      <mc:Choice xmlns:a14="http://schemas.microsoft.com/office/drawing/2010/main" Requires="a14">
        <xdr:graphicFrame macro="">
          <xdr:nvGraphicFramePr>
            <xdr:cNvPr id="8" name="Expect 1">
              <a:extLst>
                <a:ext uri="{FF2B5EF4-FFF2-40B4-BE49-F238E27FC236}">
                  <a16:creationId xmlns:a16="http://schemas.microsoft.com/office/drawing/2014/main" id="{2910AB88-6561-E9D0-5C3D-DA63944F2BCC}"/>
                </a:ext>
              </a:extLst>
            </xdr:cNvPr>
            <xdr:cNvGraphicFramePr/>
          </xdr:nvGraphicFramePr>
          <xdr:xfrm>
            <a:off x="0" y="0"/>
            <a:ext cx="0" cy="0"/>
          </xdr:xfrm>
          <a:graphic>
            <a:graphicData uri="http://schemas.microsoft.com/office/drawing/2010/slicer">
              <sle:slicer xmlns:sle="http://schemas.microsoft.com/office/drawing/2010/slicer" name="Expect 1"/>
            </a:graphicData>
          </a:graphic>
        </xdr:graphicFrame>
      </mc:Choice>
      <mc:Fallback>
        <xdr:sp macro="" textlink="">
          <xdr:nvSpPr>
            <xdr:cNvPr id="0" name=""/>
            <xdr:cNvSpPr>
              <a:spLocks noTextEdit="1"/>
            </xdr:cNvSpPr>
          </xdr:nvSpPr>
          <xdr:spPr>
            <a:xfrm>
              <a:off x="19256749" y="491379"/>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149597</xdr:colOff>
      <xdr:row>3</xdr:row>
      <xdr:rowOff>179294</xdr:rowOff>
    </xdr:from>
    <xdr:to>
      <xdr:col>1</xdr:col>
      <xdr:colOff>1725706</xdr:colOff>
      <xdr:row>15</xdr:row>
      <xdr:rowOff>168089</xdr:rowOff>
    </xdr:to>
    <xdr:graphicFrame macro="">
      <xdr:nvGraphicFramePr>
        <xdr:cNvPr id="14" name="Chart 13">
          <a:extLst>
            <a:ext uri="{FF2B5EF4-FFF2-40B4-BE49-F238E27FC236}">
              <a16:creationId xmlns:a16="http://schemas.microsoft.com/office/drawing/2014/main" id="{65AAA753-BAA7-4ABC-B8AA-4F306807E6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1926291</xdr:colOff>
      <xdr:row>4</xdr:row>
      <xdr:rowOff>11206</xdr:rowOff>
    </xdr:from>
    <xdr:to>
      <xdr:col>3</xdr:col>
      <xdr:colOff>526676</xdr:colOff>
      <xdr:row>16</xdr:row>
      <xdr:rowOff>33617</xdr:rowOff>
    </xdr:to>
    <xdr:graphicFrame macro="">
      <xdr:nvGraphicFramePr>
        <xdr:cNvPr id="15" name="Chart 14">
          <a:extLst>
            <a:ext uri="{FF2B5EF4-FFF2-40B4-BE49-F238E27FC236}">
              <a16:creationId xmlns:a16="http://schemas.microsoft.com/office/drawing/2014/main" id="{01A5FA59-C0FE-4142-90ED-C21584C9A7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132229</xdr:colOff>
      <xdr:row>17</xdr:row>
      <xdr:rowOff>21291</xdr:rowOff>
    </xdr:from>
    <xdr:to>
      <xdr:col>1</xdr:col>
      <xdr:colOff>1725705</xdr:colOff>
      <xdr:row>30</xdr:row>
      <xdr:rowOff>59391</xdr:rowOff>
    </xdr:to>
    <xdr:graphicFrame macro="">
      <xdr:nvGraphicFramePr>
        <xdr:cNvPr id="16" name="Chart 15">
          <a:extLst>
            <a:ext uri="{FF2B5EF4-FFF2-40B4-BE49-F238E27FC236}">
              <a16:creationId xmlns:a16="http://schemas.microsoft.com/office/drawing/2014/main" id="{8BF2300F-4FE1-4ADD-A9D0-20C516135B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1911725</xdr:colOff>
      <xdr:row>17</xdr:row>
      <xdr:rowOff>25774</xdr:rowOff>
    </xdr:from>
    <xdr:to>
      <xdr:col>3</xdr:col>
      <xdr:colOff>493060</xdr:colOff>
      <xdr:row>30</xdr:row>
      <xdr:rowOff>35299</xdr:rowOff>
    </xdr:to>
    <xdr:graphicFrame macro="">
      <xdr:nvGraphicFramePr>
        <xdr:cNvPr id="17" name="Chart 16">
          <a:extLst>
            <a:ext uri="{FF2B5EF4-FFF2-40B4-BE49-F238E27FC236}">
              <a16:creationId xmlns:a16="http://schemas.microsoft.com/office/drawing/2014/main" id="{E8B3CA6F-D859-44B1-9FCE-29200E62EA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728383</xdr:colOff>
      <xdr:row>3</xdr:row>
      <xdr:rowOff>168088</xdr:rowOff>
    </xdr:from>
    <xdr:to>
      <xdr:col>7</xdr:col>
      <xdr:colOff>593913</xdr:colOff>
      <xdr:row>16</xdr:row>
      <xdr:rowOff>56029</xdr:rowOff>
    </xdr:to>
    <xdr:graphicFrame macro="">
      <xdr:nvGraphicFramePr>
        <xdr:cNvPr id="18" name="Chart 17">
          <a:extLst>
            <a:ext uri="{FF2B5EF4-FFF2-40B4-BE49-F238E27FC236}">
              <a16:creationId xmlns:a16="http://schemas.microsoft.com/office/drawing/2014/main" id="{BE30A234-D9FA-428F-86F0-931116917D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44825</xdr:colOff>
      <xdr:row>17</xdr:row>
      <xdr:rowOff>78441</xdr:rowOff>
    </xdr:from>
    <xdr:to>
      <xdr:col>7</xdr:col>
      <xdr:colOff>593913</xdr:colOff>
      <xdr:row>29</xdr:row>
      <xdr:rowOff>112059</xdr:rowOff>
    </xdr:to>
    <mc:AlternateContent xmlns:mc="http://schemas.openxmlformats.org/markup-compatibility/2006">
      <mc:Choice xmlns:a14="http://schemas.microsoft.com/office/drawing/2010/main" Requires="a14">
        <xdr:graphicFrame macro="">
          <xdr:nvGraphicFramePr>
            <xdr:cNvPr id="20" name="Avenue 1">
              <a:extLst>
                <a:ext uri="{FF2B5EF4-FFF2-40B4-BE49-F238E27FC236}">
                  <a16:creationId xmlns:a16="http://schemas.microsoft.com/office/drawing/2014/main" id="{D985A284-70C5-4AA3-A360-C98CD2C42F68}"/>
                </a:ext>
              </a:extLst>
            </xdr:cNvPr>
            <xdr:cNvGraphicFramePr/>
          </xdr:nvGraphicFramePr>
          <xdr:xfrm>
            <a:off x="0" y="0"/>
            <a:ext cx="0" cy="0"/>
          </xdr:xfrm>
          <a:graphic>
            <a:graphicData uri="http://schemas.microsoft.com/office/drawing/2010/slicer">
              <sle:slicer xmlns:sle="http://schemas.microsoft.com/office/drawing/2010/slicer" name="Avenue 1"/>
            </a:graphicData>
          </a:graphic>
        </xdr:graphicFrame>
      </mc:Choice>
      <mc:Fallback>
        <xdr:sp macro="" textlink="">
          <xdr:nvSpPr>
            <xdr:cNvPr id="0" name=""/>
            <xdr:cNvSpPr>
              <a:spLocks noTextEdit="1"/>
            </xdr:cNvSpPr>
          </xdr:nvSpPr>
          <xdr:spPr>
            <a:xfrm>
              <a:off x="10611972" y="3686735"/>
              <a:ext cx="1759323" cy="23196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784410</xdr:colOff>
      <xdr:row>17</xdr:row>
      <xdr:rowOff>78442</xdr:rowOff>
    </xdr:from>
    <xdr:to>
      <xdr:col>4</xdr:col>
      <xdr:colOff>459440</xdr:colOff>
      <xdr:row>30</xdr:row>
      <xdr:rowOff>0</xdr:rowOff>
    </xdr:to>
    <mc:AlternateContent xmlns:mc="http://schemas.openxmlformats.org/markup-compatibility/2006">
      <mc:Choice xmlns:a14="http://schemas.microsoft.com/office/drawing/2010/main" Requires="a14">
        <xdr:graphicFrame macro="">
          <xdr:nvGraphicFramePr>
            <xdr:cNvPr id="21" name="What are your savings objectives? 1">
              <a:extLst>
                <a:ext uri="{FF2B5EF4-FFF2-40B4-BE49-F238E27FC236}">
                  <a16:creationId xmlns:a16="http://schemas.microsoft.com/office/drawing/2014/main" id="{FE4CF0AA-AD1F-445C-B702-2C5AFEAB8C60}"/>
                </a:ext>
              </a:extLst>
            </xdr:cNvPr>
            <xdr:cNvGraphicFramePr/>
          </xdr:nvGraphicFramePr>
          <xdr:xfrm>
            <a:off x="0" y="0"/>
            <a:ext cx="0" cy="0"/>
          </xdr:xfrm>
          <a:graphic>
            <a:graphicData uri="http://schemas.microsoft.com/office/drawing/2010/slicer">
              <sle:slicer xmlns:sle="http://schemas.microsoft.com/office/drawing/2010/slicer" name="What are your savings objectives? 1"/>
            </a:graphicData>
          </a:graphic>
        </xdr:graphicFrame>
      </mc:Choice>
      <mc:Fallback>
        <xdr:sp macro="" textlink="">
          <xdr:nvSpPr>
            <xdr:cNvPr id="0" name=""/>
            <xdr:cNvSpPr>
              <a:spLocks noTextEdit="1"/>
            </xdr:cNvSpPr>
          </xdr:nvSpPr>
          <xdr:spPr>
            <a:xfrm>
              <a:off x="8393204" y="3686736"/>
              <a:ext cx="2028265" cy="23980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156882</xdr:colOff>
      <xdr:row>4</xdr:row>
      <xdr:rowOff>2</xdr:rowOff>
    </xdr:from>
    <xdr:to>
      <xdr:col>11</xdr:col>
      <xdr:colOff>571500</xdr:colOff>
      <xdr:row>10</xdr:row>
      <xdr:rowOff>22412</xdr:rowOff>
    </xdr:to>
    <mc:AlternateContent xmlns:mc="http://schemas.openxmlformats.org/markup-compatibility/2006">
      <mc:Choice xmlns:a14="http://schemas.microsoft.com/office/drawing/2010/main" Requires="a14">
        <xdr:graphicFrame macro="">
          <xdr:nvGraphicFramePr>
            <xdr:cNvPr id="22" name="Expect 2">
              <a:extLst>
                <a:ext uri="{FF2B5EF4-FFF2-40B4-BE49-F238E27FC236}">
                  <a16:creationId xmlns:a16="http://schemas.microsoft.com/office/drawing/2014/main" id="{76D3C75E-D427-4D8D-9CE8-CBC80003D083}"/>
                </a:ext>
              </a:extLst>
            </xdr:cNvPr>
            <xdr:cNvGraphicFramePr/>
          </xdr:nvGraphicFramePr>
          <xdr:xfrm>
            <a:off x="0" y="0"/>
            <a:ext cx="0" cy="0"/>
          </xdr:xfrm>
          <a:graphic>
            <a:graphicData uri="http://schemas.microsoft.com/office/drawing/2010/slicer">
              <sle:slicer xmlns:sle="http://schemas.microsoft.com/office/drawing/2010/slicer" name="Expect 2"/>
            </a:graphicData>
          </a:graphic>
        </xdr:graphicFrame>
      </mc:Choice>
      <mc:Fallback>
        <xdr:sp macro="" textlink="">
          <xdr:nvSpPr>
            <xdr:cNvPr id="0" name=""/>
            <xdr:cNvSpPr>
              <a:spLocks noTextEdit="1"/>
            </xdr:cNvSpPr>
          </xdr:nvSpPr>
          <xdr:spPr>
            <a:xfrm>
              <a:off x="12539382" y="1131796"/>
              <a:ext cx="2229971" cy="11654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168089</xdr:colOff>
      <xdr:row>17</xdr:row>
      <xdr:rowOff>33619</xdr:rowOff>
    </xdr:from>
    <xdr:to>
      <xdr:col>11</xdr:col>
      <xdr:colOff>537883</xdr:colOff>
      <xdr:row>29</xdr:row>
      <xdr:rowOff>123265</xdr:rowOff>
    </xdr:to>
    <mc:AlternateContent xmlns:mc="http://schemas.openxmlformats.org/markup-compatibility/2006">
      <mc:Choice xmlns:a14="http://schemas.microsoft.com/office/drawing/2010/main" Requires="a14">
        <xdr:graphicFrame macro="">
          <xdr:nvGraphicFramePr>
            <xdr:cNvPr id="23" name="Duration 1">
              <a:extLst>
                <a:ext uri="{FF2B5EF4-FFF2-40B4-BE49-F238E27FC236}">
                  <a16:creationId xmlns:a16="http://schemas.microsoft.com/office/drawing/2014/main" id="{3EB43547-C214-4E0A-A1E9-360F2D7FC276}"/>
                </a:ext>
              </a:extLst>
            </xdr:cNvPr>
            <xdr:cNvGraphicFramePr/>
          </xdr:nvGraphicFramePr>
          <xdr:xfrm>
            <a:off x="0" y="0"/>
            <a:ext cx="0" cy="0"/>
          </xdr:xfrm>
          <a:graphic>
            <a:graphicData uri="http://schemas.microsoft.com/office/drawing/2010/slicer">
              <sle:slicer xmlns:sle="http://schemas.microsoft.com/office/drawing/2010/slicer" name="Duration 1"/>
            </a:graphicData>
          </a:graphic>
        </xdr:graphicFrame>
      </mc:Choice>
      <mc:Fallback>
        <xdr:sp macro="" textlink="">
          <xdr:nvSpPr>
            <xdr:cNvPr id="0" name=""/>
            <xdr:cNvSpPr>
              <a:spLocks noTextEdit="1"/>
            </xdr:cNvSpPr>
          </xdr:nvSpPr>
          <xdr:spPr>
            <a:xfrm>
              <a:off x="12550589" y="3641913"/>
              <a:ext cx="2185147" cy="23756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168088</xdr:colOff>
      <xdr:row>10</xdr:row>
      <xdr:rowOff>145677</xdr:rowOff>
    </xdr:from>
    <xdr:to>
      <xdr:col>11</xdr:col>
      <xdr:colOff>560294</xdr:colOff>
      <xdr:row>15</xdr:row>
      <xdr:rowOff>145677</xdr:rowOff>
    </xdr:to>
    <mc:AlternateContent xmlns:mc="http://schemas.openxmlformats.org/markup-compatibility/2006">
      <mc:Choice xmlns:a14="http://schemas.microsoft.com/office/drawing/2010/main" Requires="a14">
        <xdr:graphicFrame macro="">
          <xdr:nvGraphicFramePr>
            <xdr:cNvPr id="24" name="gender 1">
              <a:extLst>
                <a:ext uri="{FF2B5EF4-FFF2-40B4-BE49-F238E27FC236}">
                  <a16:creationId xmlns:a16="http://schemas.microsoft.com/office/drawing/2014/main" id="{54981243-1718-49CF-AD2F-EE7EE77E503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2550588" y="2420471"/>
              <a:ext cx="2207559"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44.76995671296" createdVersion="8" refreshedVersion="8" minRefreshableVersion="3" recordCount="40" xr:uid="{EBC37217-4737-405D-B5AD-2AD7394A1139}">
  <cacheSource type="worksheet">
    <worksheetSource ref="A1:X41" sheet="Data_set 2 (1)"/>
  </cacheSource>
  <cacheFields count="24">
    <cacheField name="gender" numFmtId="0">
      <sharedItems count="2">
        <s v="Female"/>
        <s v="Male"/>
      </sharedItems>
    </cacheField>
    <cacheField name="age" numFmtId="0">
      <sharedItems containsSemiMixedTypes="0" containsString="0" containsNumber="1" containsInteger="1" minValue="21" maxValue="35" count="14">
        <n v="34"/>
        <n v="23"/>
        <n v="30"/>
        <n v="22"/>
        <n v="24"/>
        <n v="27"/>
        <n v="21"/>
        <n v="35"/>
        <n v="31"/>
        <n v="29"/>
        <n v="28"/>
        <n v="25"/>
        <n v="26"/>
        <n v="32"/>
      </sharedItems>
    </cacheField>
    <cacheField name="Investment_Avenues" numFmtId="0">
      <sharedItems count="2">
        <s v="Yes"/>
        <s v="No"/>
      </sharedItems>
    </cacheField>
    <cacheField name="Mutual_Funds" numFmtId="0">
      <sharedItems containsSemiMixedTypes="0" containsString="0" containsNumber="1" containsInteger="1" minValue="1" maxValue="7" count="6">
        <n v="1"/>
        <n v="4"/>
        <n v="3"/>
        <n v="2"/>
        <n v="7"/>
        <n v="5"/>
      </sharedItems>
    </cacheField>
    <cacheField name="Equity_Market" numFmtId="0">
      <sharedItems containsSemiMixedTypes="0" containsString="0" containsNumber="1" containsInteger="1" minValue="1" maxValue="6" count="6">
        <n v="2"/>
        <n v="3"/>
        <n v="6"/>
        <n v="1"/>
        <n v="5"/>
        <n v="4"/>
      </sharedItems>
    </cacheField>
    <cacheField name="Debentures" numFmtId="0">
      <sharedItems containsSemiMixedTypes="0" containsString="0" containsNumber="1" containsInteger="1" minValue="1" maxValue="7"/>
    </cacheField>
    <cacheField name="Government_Bonds" numFmtId="0">
      <sharedItems containsSemiMixedTypes="0" containsString="0" containsNumber="1" containsInteger="1" minValue="1" maxValue="7"/>
    </cacheField>
    <cacheField name="Fixed_Deposits" numFmtId="0">
      <sharedItems containsSemiMixedTypes="0" containsString="0" containsNumber="1" containsInteger="1" minValue="1" maxValue="7"/>
    </cacheField>
    <cacheField name="PPF" numFmtId="0">
      <sharedItems containsSemiMixedTypes="0" containsString="0" containsNumber="1" containsInteger="1" minValue="1" maxValue="6"/>
    </cacheField>
    <cacheField name="Gold" numFmtId="0">
      <sharedItems containsSemiMixedTypes="0" containsString="0" containsNumber="1" containsInteger="1" minValue="2" maxValue="7"/>
    </cacheField>
    <cacheField name="Stock_Marktet" numFmtId="0">
      <sharedItems count="2">
        <s v="Yes"/>
        <s v="No"/>
      </sharedItems>
    </cacheField>
    <cacheField name="Factor" numFmtId="0">
      <sharedItems/>
    </cacheField>
    <cacheField name="Objective" numFmtId="0">
      <sharedItems/>
    </cacheField>
    <cacheField name="Purpose" numFmtId="0">
      <sharedItems/>
    </cacheField>
    <cacheField name="Duration" numFmtId="0">
      <sharedItems count="4">
        <s v="1-3 years"/>
        <s v="More than 5 years"/>
        <s v="3-5 years"/>
        <s v="Less than 1 year"/>
      </sharedItems>
    </cacheField>
    <cacheField name="Invest_Monitor" numFmtId="0">
      <sharedItems/>
    </cacheField>
    <cacheField name="Expect" numFmtId="0">
      <sharedItems count="3">
        <s v="20%-30%"/>
        <s v="10%-20%"/>
        <s v="30%-40%"/>
      </sharedItems>
    </cacheField>
    <cacheField name="Avenue" numFmtId="0">
      <sharedItems count="4">
        <s v="Mutual Fund"/>
        <s v="Equity"/>
        <s v="Fixed Deposits"/>
        <s v="Public Provident Fund"/>
      </sharedItems>
    </cacheField>
    <cacheField name="What are your savings objectives?" numFmtId="0">
      <sharedItems count="3">
        <s v="Retirement Plan"/>
        <s v="Health Care"/>
        <s v="Education"/>
      </sharedItems>
    </cacheField>
    <cacheField name="Reason_Equity" numFmtId="0">
      <sharedItems count="3">
        <s v="Capital Appreciation"/>
        <s v="Dividend"/>
        <s v="Liquidity"/>
      </sharedItems>
    </cacheField>
    <cacheField name="Reason_Mutual" numFmtId="0">
      <sharedItems count="3">
        <s v="Better Returns"/>
        <s v="Tax Benefits"/>
        <s v="Fund Diversification"/>
      </sharedItems>
    </cacheField>
    <cacheField name="Reason_Bonds" numFmtId="0">
      <sharedItems count="3">
        <s v="Safe Investment"/>
        <s v="Assured Returns"/>
        <s v="Tax Incentives"/>
      </sharedItems>
    </cacheField>
    <cacheField name="Reason_FD" numFmtId="0">
      <sharedItems count="3">
        <s v="Fixed Returns"/>
        <s v="High Interest Rates"/>
        <s v="Risk Free"/>
      </sharedItems>
    </cacheField>
    <cacheField name="Source" numFmtId="0">
      <sharedItems count="4">
        <s v="Newspapers and Magazines"/>
        <s v="Financial Consultants"/>
        <s v="Television"/>
        <s v="Internet"/>
      </sharedItems>
    </cacheField>
  </cacheFields>
  <extLst>
    <ext xmlns:x14="http://schemas.microsoft.com/office/spreadsheetml/2009/9/main" uri="{725AE2AE-9491-48be-B2B4-4EB974FC3084}">
      <x14:pivotCacheDefinition pivotCacheId="6403715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x v="0"/>
    <x v="0"/>
    <x v="0"/>
    <x v="0"/>
    <n v="5"/>
    <n v="3"/>
    <n v="7"/>
    <n v="6"/>
    <n v="4"/>
    <x v="0"/>
    <s v="Returns"/>
    <s v="Capital Appreciation"/>
    <s v="Wealth Creation"/>
    <x v="0"/>
    <s v="Monthly"/>
    <x v="0"/>
    <x v="0"/>
    <x v="0"/>
    <x v="0"/>
    <x v="0"/>
    <x v="0"/>
    <x v="0"/>
    <x v="0"/>
  </r>
  <r>
    <x v="0"/>
    <x v="1"/>
    <x v="0"/>
    <x v="1"/>
    <x v="1"/>
    <n v="2"/>
    <n v="1"/>
    <n v="5"/>
    <n v="6"/>
    <n v="7"/>
    <x v="1"/>
    <s v="Locking Period"/>
    <s v="Capital Appreciation"/>
    <s v="Wealth Creation"/>
    <x v="1"/>
    <s v="Weekly"/>
    <x v="0"/>
    <x v="0"/>
    <x v="1"/>
    <x v="1"/>
    <x v="0"/>
    <x v="0"/>
    <x v="1"/>
    <x v="1"/>
  </r>
  <r>
    <x v="1"/>
    <x v="2"/>
    <x v="0"/>
    <x v="2"/>
    <x v="2"/>
    <n v="4"/>
    <n v="2"/>
    <n v="5"/>
    <n v="1"/>
    <n v="7"/>
    <x v="0"/>
    <s v="Returns"/>
    <s v="Capital Appreciation"/>
    <s v="Wealth Creation"/>
    <x v="2"/>
    <s v="Daily"/>
    <x v="0"/>
    <x v="1"/>
    <x v="0"/>
    <x v="0"/>
    <x v="1"/>
    <x v="1"/>
    <x v="0"/>
    <x v="2"/>
  </r>
  <r>
    <x v="1"/>
    <x v="3"/>
    <x v="0"/>
    <x v="3"/>
    <x v="3"/>
    <n v="3"/>
    <n v="7"/>
    <n v="6"/>
    <n v="4"/>
    <n v="5"/>
    <x v="0"/>
    <s v="Returns"/>
    <s v="Income"/>
    <s v="Wealth Creation"/>
    <x v="3"/>
    <s v="Daily"/>
    <x v="1"/>
    <x v="1"/>
    <x v="0"/>
    <x v="1"/>
    <x v="2"/>
    <x v="2"/>
    <x v="1"/>
    <x v="3"/>
  </r>
  <r>
    <x v="0"/>
    <x v="4"/>
    <x v="1"/>
    <x v="3"/>
    <x v="3"/>
    <n v="3"/>
    <n v="6"/>
    <n v="4"/>
    <n v="5"/>
    <n v="7"/>
    <x v="1"/>
    <s v="Returns"/>
    <s v="Income"/>
    <s v="Wealth Creation"/>
    <x v="3"/>
    <s v="Daily"/>
    <x v="0"/>
    <x v="1"/>
    <x v="0"/>
    <x v="0"/>
    <x v="0"/>
    <x v="0"/>
    <x v="2"/>
    <x v="3"/>
  </r>
  <r>
    <x v="0"/>
    <x v="4"/>
    <x v="1"/>
    <x v="4"/>
    <x v="4"/>
    <n v="4"/>
    <n v="6"/>
    <n v="3"/>
    <n v="1"/>
    <n v="2"/>
    <x v="1"/>
    <s v="Risk"/>
    <s v="Capital Appreciation"/>
    <s v="Wealth Creation"/>
    <x v="0"/>
    <s v="Daily"/>
    <x v="2"/>
    <x v="0"/>
    <x v="0"/>
    <x v="2"/>
    <x v="2"/>
    <x v="0"/>
    <x v="2"/>
    <x v="3"/>
  </r>
  <r>
    <x v="0"/>
    <x v="5"/>
    <x v="0"/>
    <x v="2"/>
    <x v="2"/>
    <n v="4"/>
    <n v="2"/>
    <n v="5"/>
    <n v="1"/>
    <n v="7"/>
    <x v="0"/>
    <s v="Returns"/>
    <s v="Capital Appreciation"/>
    <s v="Wealth Creation"/>
    <x v="2"/>
    <s v="Monthly"/>
    <x v="0"/>
    <x v="1"/>
    <x v="0"/>
    <x v="0"/>
    <x v="0"/>
    <x v="1"/>
    <x v="1"/>
    <x v="1"/>
  </r>
  <r>
    <x v="1"/>
    <x v="6"/>
    <x v="0"/>
    <x v="3"/>
    <x v="1"/>
    <n v="7"/>
    <n v="4"/>
    <n v="6"/>
    <n v="1"/>
    <n v="5"/>
    <x v="0"/>
    <s v="Risk"/>
    <s v="Capital Appreciation"/>
    <s v="Wealth Creation"/>
    <x v="2"/>
    <s v="Monthly"/>
    <x v="0"/>
    <x v="0"/>
    <x v="0"/>
    <x v="0"/>
    <x v="0"/>
    <x v="1"/>
    <x v="2"/>
    <x v="0"/>
  </r>
  <r>
    <x v="1"/>
    <x v="7"/>
    <x v="0"/>
    <x v="3"/>
    <x v="5"/>
    <n v="7"/>
    <n v="5"/>
    <n v="3"/>
    <n v="1"/>
    <n v="6"/>
    <x v="0"/>
    <s v="Returns"/>
    <s v="Growth"/>
    <s v="Savings for Future"/>
    <x v="0"/>
    <s v="Weekly"/>
    <x v="0"/>
    <x v="1"/>
    <x v="0"/>
    <x v="0"/>
    <x v="2"/>
    <x v="0"/>
    <x v="0"/>
    <x v="2"/>
  </r>
  <r>
    <x v="1"/>
    <x v="8"/>
    <x v="0"/>
    <x v="0"/>
    <x v="1"/>
    <n v="7"/>
    <n v="4"/>
    <n v="5"/>
    <n v="2"/>
    <n v="6"/>
    <x v="0"/>
    <s v="Returns"/>
    <s v="Capital Appreciation"/>
    <s v="Wealth Creation"/>
    <x v="2"/>
    <s v="Monthly"/>
    <x v="2"/>
    <x v="2"/>
    <x v="0"/>
    <x v="0"/>
    <x v="2"/>
    <x v="1"/>
    <x v="0"/>
    <x v="0"/>
  </r>
  <r>
    <x v="0"/>
    <x v="7"/>
    <x v="0"/>
    <x v="3"/>
    <x v="5"/>
    <n v="7"/>
    <n v="5"/>
    <n v="3"/>
    <n v="1"/>
    <n v="6"/>
    <x v="0"/>
    <s v="Risk"/>
    <s v="Growth"/>
    <s v="Savings for Future"/>
    <x v="2"/>
    <s v="Monthly"/>
    <x v="0"/>
    <x v="0"/>
    <x v="0"/>
    <x v="0"/>
    <x v="0"/>
    <x v="1"/>
    <x v="2"/>
    <x v="1"/>
  </r>
  <r>
    <x v="1"/>
    <x v="9"/>
    <x v="0"/>
    <x v="3"/>
    <x v="4"/>
    <n v="7"/>
    <n v="6"/>
    <n v="3"/>
    <n v="1"/>
    <n v="4"/>
    <x v="0"/>
    <s v="Risk"/>
    <s v="Capital Appreciation"/>
    <s v="Wealth Creation"/>
    <x v="0"/>
    <s v="Monthly"/>
    <x v="0"/>
    <x v="0"/>
    <x v="0"/>
    <x v="0"/>
    <x v="2"/>
    <x v="1"/>
    <x v="0"/>
    <x v="1"/>
  </r>
  <r>
    <x v="0"/>
    <x v="6"/>
    <x v="1"/>
    <x v="0"/>
    <x v="0"/>
    <n v="3"/>
    <n v="4"/>
    <n v="5"/>
    <n v="6"/>
    <n v="7"/>
    <x v="1"/>
    <s v="Returns"/>
    <s v="Capital Appreciation"/>
    <s v="Savings for Future"/>
    <x v="0"/>
    <s v="Weekly"/>
    <x v="0"/>
    <x v="0"/>
    <x v="2"/>
    <x v="1"/>
    <x v="0"/>
    <x v="0"/>
    <x v="2"/>
    <x v="3"/>
  </r>
  <r>
    <x v="0"/>
    <x v="10"/>
    <x v="0"/>
    <x v="3"/>
    <x v="1"/>
    <n v="7"/>
    <n v="4"/>
    <n v="5"/>
    <n v="1"/>
    <n v="6"/>
    <x v="0"/>
    <s v="Returns"/>
    <s v="Capital Appreciation"/>
    <s v="Wealth Creation"/>
    <x v="0"/>
    <s v="Monthly"/>
    <x v="0"/>
    <x v="0"/>
    <x v="0"/>
    <x v="0"/>
    <x v="2"/>
    <x v="1"/>
    <x v="2"/>
    <x v="0"/>
  </r>
  <r>
    <x v="0"/>
    <x v="11"/>
    <x v="0"/>
    <x v="3"/>
    <x v="1"/>
    <n v="7"/>
    <n v="5"/>
    <n v="4"/>
    <n v="1"/>
    <n v="6"/>
    <x v="0"/>
    <s v="Returns"/>
    <s v="Capital Appreciation"/>
    <s v="Wealth Creation"/>
    <x v="0"/>
    <s v="Monthly"/>
    <x v="0"/>
    <x v="2"/>
    <x v="1"/>
    <x v="1"/>
    <x v="0"/>
    <x v="1"/>
    <x v="2"/>
    <x v="1"/>
  </r>
  <r>
    <x v="1"/>
    <x v="5"/>
    <x v="0"/>
    <x v="3"/>
    <x v="1"/>
    <n v="7"/>
    <n v="5"/>
    <n v="4"/>
    <n v="1"/>
    <n v="6"/>
    <x v="0"/>
    <s v="Returns"/>
    <s v="Capital Appreciation"/>
    <s v="Wealth Creation"/>
    <x v="0"/>
    <s v="Monthly"/>
    <x v="0"/>
    <x v="0"/>
    <x v="1"/>
    <x v="0"/>
    <x v="2"/>
    <x v="1"/>
    <x v="2"/>
    <x v="0"/>
  </r>
  <r>
    <x v="0"/>
    <x v="10"/>
    <x v="0"/>
    <x v="2"/>
    <x v="0"/>
    <n v="7"/>
    <n v="5"/>
    <n v="4"/>
    <n v="1"/>
    <n v="6"/>
    <x v="0"/>
    <s v="Risk"/>
    <s v="Growth"/>
    <s v="Wealth Creation"/>
    <x v="0"/>
    <s v="Monthly"/>
    <x v="0"/>
    <x v="2"/>
    <x v="1"/>
    <x v="0"/>
    <x v="2"/>
    <x v="1"/>
    <x v="2"/>
    <x v="2"/>
  </r>
  <r>
    <x v="1"/>
    <x v="5"/>
    <x v="0"/>
    <x v="2"/>
    <x v="0"/>
    <n v="7"/>
    <n v="4"/>
    <n v="5"/>
    <n v="1"/>
    <n v="6"/>
    <x v="0"/>
    <s v="Returns"/>
    <s v="Capital Appreciation"/>
    <s v="Wealth Creation"/>
    <x v="0"/>
    <s v="Monthly"/>
    <x v="0"/>
    <x v="0"/>
    <x v="0"/>
    <x v="0"/>
    <x v="0"/>
    <x v="1"/>
    <x v="2"/>
    <x v="1"/>
  </r>
  <r>
    <x v="1"/>
    <x v="9"/>
    <x v="0"/>
    <x v="2"/>
    <x v="0"/>
    <n v="7"/>
    <n v="4"/>
    <n v="5"/>
    <n v="1"/>
    <n v="6"/>
    <x v="0"/>
    <s v="Risk"/>
    <s v="Capital Appreciation"/>
    <s v="Wealth Creation"/>
    <x v="0"/>
    <s v="Monthly"/>
    <x v="0"/>
    <x v="0"/>
    <x v="0"/>
    <x v="0"/>
    <x v="0"/>
    <x v="1"/>
    <x v="2"/>
    <x v="0"/>
  </r>
  <r>
    <x v="1"/>
    <x v="12"/>
    <x v="0"/>
    <x v="2"/>
    <x v="5"/>
    <n v="6"/>
    <n v="5"/>
    <n v="1"/>
    <n v="2"/>
    <n v="7"/>
    <x v="0"/>
    <s v="Risk"/>
    <s v="Capital Appreciation"/>
    <s v="Wealth Creation"/>
    <x v="2"/>
    <s v="Monthly"/>
    <x v="0"/>
    <x v="2"/>
    <x v="1"/>
    <x v="0"/>
    <x v="2"/>
    <x v="1"/>
    <x v="2"/>
    <x v="0"/>
  </r>
  <r>
    <x v="1"/>
    <x v="9"/>
    <x v="0"/>
    <x v="3"/>
    <x v="5"/>
    <n v="7"/>
    <n v="5"/>
    <n v="3"/>
    <n v="1"/>
    <n v="6"/>
    <x v="0"/>
    <s v="Returns"/>
    <s v="Growth"/>
    <s v="Wealth Creation"/>
    <x v="2"/>
    <s v="Weekly"/>
    <x v="0"/>
    <x v="0"/>
    <x v="0"/>
    <x v="0"/>
    <x v="0"/>
    <x v="1"/>
    <x v="0"/>
    <x v="1"/>
  </r>
  <r>
    <x v="0"/>
    <x v="4"/>
    <x v="0"/>
    <x v="3"/>
    <x v="5"/>
    <n v="5"/>
    <n v="6"/>
    <n v="3"/>
    <n v="1"/>
    <n v="7"/>
    <x v="0"/>
    <s v="Risk"/>
    <s v="Capital Appreciation"/>
    <s v="Wealth Creation"/>
    <x v="2"/>
    <s v="Monthly"/>
    <x v="0"/>
    <x v="1"/>
    <x v="1"/>
    <x v="0"/>
    <x v="0"/>
    <x v="1"/>
    <x v="2"/>
    <x v="0"/>
  </r>
  <r>
    <x v="1"/>
    <x v="5"/>
    <x v="0"/>
    <x v="2"/>
    <x v="5"/>
    <n v="6"/>
    <n v="5"/>
    <n v="2"/>
    <n v="1"/>
    <n v="7"/>
    <x v="0"/>
    <s v="Returns"/>
    <s v="Capital Appreciation"/>
    <s v="Wealth Creation"/>
    <x v="2"/>
    <s v="Monthly"/>
    <x v="0"/>
    <x v="0"/>
    <x v="0"/>
    <x v="0"/>
    <x v="0"/>
    <x v="1"/>
    <x v="2"/>
    <x v="1"/>
  </r>
  <r>
    <x v="1"/>
    <x v="11"/>
    <x v="0"/>
    <x v="3"/>
    <x v="5"/>
    <n v="6"/>
    <n v="5"/>
    <n v="3"/>
    <n v="1"/>
    <n v="7"/>
    <x v="0"/>
    <s v="Risk"/>
    <s v="Growth"/>
    <s v="Savings for Future"/>
    <x v="2"/>
    <s v="Weekly"/>
    <x v="0"/>
    <x v="3"/>
    <x v="1"/>
    <x v="2"/>
    <x v="0"/>
    <x v="1"/>
    <x v="2"/>
    <x v="1"/>
  </r>
  <r>
    <x v="0"/>
    <x v="12"/>
    <x v="0"/>
    <x v="3"/>
    <x v="1"/>
    <n v="7"/>
    <n v="5"/>
    <n v="4"/>
    <n v="1"/>
    <n v="6"/>
    <x v="0"/>
    <s v="Returns"/>
    <s v="Capital Appreciation"/>
    <s v="Wealth Creation"/>
    <x v="2"/>
    <s v="Monthly"/>
    <x v="2"/>
    <x v="3"/>
    <x v="0"/>
    <x v="0"/>
    <x v="0"/>
    <x v="1"/>
    <x v="2"/>
    <x v="0"/>
  </r>
  <r>
    <x v="0"/>
    <x v="13"/>
    <x v="0"/>
    <x v="2"/>
    <x v="5"/>
    <n v="7"/>
    <n v="5"/>
    <n v="1"/>
    <n v="2"/>
    <n v="6"/>
    <x v="0"/>
    <s v="Risk"/>
    <s v="Growth"/>
    <s v="Wealth Creation"/>
    <x v="2"/>
    <s v="Monthly"/>
    <x v="0"/>
    <x v="0"/>
    <x v="0"/>
    <x v="0"/>
    <x v="0"/>
    <x v="1"/>
    <x v="0"/>
    <x v="1"/>
  </r>
  <r>
    <x v="1"/>
    <x v="12"/>
    <x v="0"/>
    <x v="2"/>
    <x v="5"/>
    <n v="6"/>
    <n v="5"/>
    <n v="1"/>
    <n v="2"/>
    <n v="7"/>
    <x v="0"/>
    <s v="Returns"/>
    <s v="Capital Appreciation"/>
    <s v="Wealth Creation"/>
    <x v="2"/>
    <s v="Monthly"/>
    <x v="0"/>
    <x v="0"/>
    <x v="0"/>
    <x v="1"/>
    <x v="2"/>
    <x v="1"/>
    <x v="0"/>
    <x v="1"/>
  </r>
  <r>
    <x v="1"/>
    <x v="8"/>
    <x v="0"/>
    <x v="3"/>
    <x v="1"/>
    <n v="7"/>
    <n v="6"/>
    <n v="4"/>
    <n v="1"/>
    <n v="5"/>
    <x v="0"/>
    <s v="Risk"/>
    <s v="Growth"/>
    <s v="Savings for Future"/>
    <x v="0"/>
    <s v="Monthly"/>
    <x v="0"/>
    <x v="2"/>
    <x v="1"/>
    <x v="0"/>
    <x v="2"/>
    <x v="0"/>
    <x v="0"/>
    <x v="2"/>
  </r>
  <r>
    <x v="1"/>
    <x v="9"/>
    <x v="0"/>
    <x v="3"/>
    <x v="1"/>
    <n v="6"/>
    <n v="5"/>
    <n v="1"/>
    <n v="4"/>
    <n v="7"/>
    <x v="0"/>
    <s v="Returns"/>
    <s v="Capital Appreciation"/>
    <s v="Wealth Creation"/>
    <x v="0"/>
    <s v="Monthly"/>
    <x v="0"/>
    <x v="1"/>
    <x v="0"/>
    <x v="0"/>
    <x v="0"/>
    <x v="1"/>
    <x v="2"/>
    <x v="2"/>
  </r>
  <r>
    <x v="0"/>
    <x v="0"/>
    <x v="0"/>
    <x v="5"/>
    <x v="5"/>
    <n v="3"/>
    <n v="2"/>
    <n v="7"/>
    <n v="1"/>
    <n v="6"/>
    <x v="0"/>
    <s v="Returns"/>
    <s v="Income"/>
    <s v="Returns"/>
    <x v="2"/>
    <s v="Monthly"/>
    <x v="1"/>
    <x v="0"/>
    <x v="0"/>
    <x v="0"/>
    <x v="1"/>
    <x v="0"/>
    <x v="0"/>
    <x v="0"/>
  </r>
  <r>
    <x v="1"/>
    <x v="5"/>
    <x v="0"/>
    <x v="1"/>
    <x v="4"/>
    <n v="1"/>
    <n v="2"/>
    <n v="7"/>
    <n v="3"/>
    <n v="6"/>
    <x v="1"/>
    <s v="Returns"/>
    <s v="Growth"/>
    <s v="Wealth Creation"/>
    <x v="0"/>
    <s v="Monthly"/>
    <x v="1"/>
    <x v="0"/>
    <x v="2"/>
    <x v="0"/>
    <x v="1"/>
    <x v="0"/>
    <x v="0"/>
    <x v="2"/>
  </r>
  <r>
    <x v="0"/>
    <x v="8"/>
    <x v="0"/>
    <x v="3"/>
    <x v="5"/>
    <n v="7"/>
    <n v="6"/>
    <n v="3"/>
    <n v="1"/>
    <n v="5"/>
    <x v="0"/>
    <s v="Returns"/>
    <s v="Capital Appreciation"/>
    <s v="Wealth Creation"/>
    <x v="2"/>
    <s v="Monthly"/>
    <x v="0"/>
    <x v="2"/>
    <x v="0"/>
    <x v="0"/>
    <x v="0"/>
    <x v="1"/>
    <x v="0"/>
    <x v="1"/>
  </r>
  <r>
    <x v="1"/>
    <x v="5"/>
    <x v="0"/>
    <x v="3"/>
    <x v="5"/>
    <n v="7"/>
    <n v="5"/>
    <n v="1"/>
    <n v="3"/>
    <n v="6"/>
    <x v="0"/>
    <s v="Returns"/>
    <s v="Capital Appreciation"/>
    <s v="Wealth Creation"/>
    <x v="2"/>
    <s v="Monthly"/>
    <x v="2"/>
    <x v="1"/>
    <x v="1"/>
    <x v="0"/>
    <x v="2"/>
    <x v="1"/>
    <x v="0"/>
    <x v="0"/>
  </r>
  <r>
    <x v="1"/>
    <x v="12"/>
    <x v="0"/>
    <x v="3"/>
    <x v="1"/>
    <n v="6"/>
    <n v="4"/>
    <n v="1"/>
    <n v="5"/>
    <n v="7"/>
    <x v="0"/>
    <s v="Returns"/>
    <s v="Capital Appreciation"/>
    <s v="Returns"/>
    <x v="0"/>
    <s v="Monthly"/>
    <x v="0"/>
    <x v="2"/>
    <x v="2"/>
    <x v="1"/>
    <x v="0"/>
    <x v="0"/>
    <x v="2"/>
    <x v="0"/>
  </r>
  <r>
    <x v="1"/>
    <x v="5"/>
    <x v="0"/>
    <x v="3"/>
    <x v="1"/>
    <n v="6"/>
    <n v="5"/>
    <n v="4"/>
    <n v="1"/>
    <n v="7"/>
    <x v="0"/>
    <s v="Returns"/>
    <s v="Capital Appreciation"/>
    <s v="Wealth Creation"/>
    <x v="0"/>
    <s v="Weekly"/>
    <x v="0"/>
    <x v="0"/>
    <x v="1"/>
    <x v="0"/>
    <x v="0"/>
    <x v="0"/>
    <x v="0"/>
    <x v="1"/>
  </r>
  <r>
    <x v="1"/>
    <x v="2"/>
    <x v="0"/>
    <x v="0"/>
    <x v="5"/>
    <n v="6"/>
    <n v="5"/>
    <n v="3"/>
    <n v="2"/>
    <n v="7"/>
    <x v="0"/>
    <s v="Risk"/>
    <s v="Growth"/>
    <s v="Wealth Creation"/>
    <x v="2"/>
    <s v="Monthly"/>
    <x v="0"/>
    <x v="2"/>
    <x v="1"/>
    <x v="0"/>
    <x v="0"/>
    <x v="1"/>
    <x v="0"/>
    <x v="1"/>
  </r>
  <r>
    <x v="1"/>
    <x v="2"/>
    <x v="0"/>
    <x v="3"/>
    <x v="5"/>
    <n v="7"/>
    <n v="5"/>
    <n v="1"/>
    <n v="3"/>
    <n v="6"/>
    <x v="0"/>
    <s v="Returns"/>
    <s v="Capital Appreciation"/>
    <s v="Wealth Creation"/>
    <x v="0"/>
    <s v="Monthly"/>
    <x v="0"/>
    <x v="1"/>
    <x v="0"/>
    <x v="0"/>
    <x v="0"/>
    <x v="1"/>
    <x v="2"/>
    <x v="0"/>
  </r>
  <r>
    <x v="1"/>
    <x v="11"/>
    <x v="0"/>
    <x v="5"/>
    <x v="5"/>
    <n v="7"/>
    <n v="6"/>
    <n v="1"/>
    <n v="2"/>
    <n v="3"/>
    <x v="0"/>
    <s v="Risk"/>
    <s v="Growth"/>
    <s v="Savings for Future"/>
    <x v="2"/>
    <s v="Monthly"/>
    <x v="2"/>
    <x v="3"/>
    <x v="1"/>
    <x v="0"/>
    <x v="0"/>
    <x v="0"/>
    <x v="0"/>
    <x v="1"/>
  </r>
  <r>
    <x v="1"/>
    <x v="8"/>
    <x v="0"/>
    <x v="3"/>
    <x v="5"/>
    <n v="7"/>
    <n v="5"/>
    <n v="3"/>
    <n v="1"/>
    <n v="6"/>
    <x v="0"/>
    <s v="Risk"/>
    <s v="Growth"/>
    <s v="Wealth Creation"/>
    <x v="0"/>
    <s v="Weekly"/>
    <x v="0"/>
    <x v="1"/>
    <x v="1"/>
    <x v="1"/>
    <x v="2"/>
    <x v="1"/>
    <x v="0"/>
    <x v="0"/>
  </r>
  <r>
    <x v="1"/>
    <x v="9"/>
    <x v="0"/>
    <x v="1"/>
    <x v="1"/>
    <n v="5"/>
    <n v="7"/>
    <n v="2"/>
    <n v="1"/>
    <n v="6"/>
    <x v="0"/>
    <s v="Returns"/>
    <s v="Capital Appreciation"/>
    <s v="Wealth Creation"/>
    <x v="2"/>
    <s v="Monthly"/>
    <x v="0"/>
    <x v="2"/>
    <x v="0"/>
    <x v="1"/>
    <x v="0"/>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8AEC7F-97E3-4AD9-9B87-9034C01AEBDD}"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24">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0"/>
        <item x="2"/>
        <item x="3"/>
        <item x="1"/>
        <item t="default"/>
      </items>
    </pivotField>
    <pivotField showAll="0"/>
    <pivotField showAll="0">
      <items count="4">
        <item x="1"/>
        <item x="0"/>
        <item x="2"/>
        <item t="default"/>
      </items>
    </pivotField>
    <pivotField showAll="0">
      <items count="5">
        <item x="1"/>
        <item x="2"/>
        <item x="0"/>
        <item x="3"/>
        <item t="default"/>
      </items>
    </pivotField>
    <pivotField showAll="0"/>
    <pivotField showAll="0"/>
    <pivotField showAll="0"/>
    <pivotField showAll="0"/>
    <pivotField showAll="0"/>
    <pivotField showAll="0"/>
  </pivotFields>
  <rowFields count="1">
    <field x="14"/>
  </rowFields>
  <rowItems count="5">
    <i>
      <x/>
    </i>
    <i>
      <x v="1"/>
    </i>
    <i>
      <x v="2"/>
    </i>
    <i>
      <x v="3"/>
    </i>
    <i t="grand">
      <x/>
    </i>
  </rowItems>
  <colItems count="1">
    <i/>
  </colItems>
  <dataFields count="1">
    <dataField name="Count of Duration"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603206-D289-4FD6-826D-F720D3C34B53}"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24">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2"/>
        <item x="3"/>
        <item x="1"/>
        <item t="default"/>
      </items>
    </pivotField>
    <pivotField showAll="0"/>
    <pivotField axis="axisRow" dataField="1" showAll="0">
      <items count="4">
        <item x="1"/>
        <item x="0"/>
        <item x="2"/>
        <item t="default"/>
      </items>
    </pivotField>
    <pivotField showAll="0">
      <items count="5">
        <item x="1"/>
        <item x="2"/>
        <item x="0"/>
        <item x="3"/>
        <item t="default"/>
      </items>
    </pivotField>
    <pivotField showAll="0"/>
    <pivotField showAll="0"/>
    <pivotField showAll="0"/>
    <pivotField showAll="0"/>
    <pivotField showAll="0"/>
    <pivotField showAll="0"/>
  </pivotFields>
  <rowFields count="1">
    <field x="16"/>
  </rowFields>
  <rowItems count="4">
    <i>
      <x/>
    </i>
    <i>
      <x v="1"/>
    </i>
    <i>
      <x v="2"/>
    </i>
    <i t="grand">
      <x/>
    </i>
  </rowItems>
  <colItems count="1">
    <i/>
  </colItems>
  <dataFields count="1">
    <dataField name="Count of Expect" fld="16"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C2A473-C74C-4C58-83F9-FF503C08AE3C}"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8:L25" firstHeaderRow="1" firstDataRow="1" firstDataCol="0"/>
  <pivotFields count="24">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2"/>
        <item x="3"/>
        <item x="1"/>
        <item t="default"/>
      </items>
    </pivotField>
    <pivotField showAll="0"/>
    <pivotField showAll="0">
      <items count="4">
        <item x="1"/>
        <item x="0"/>
        <item x="2"/>
        <item t="default"/>
      </items>
    </pivotField>
    <pivotField showAll="0">
      <items count="5">
        <item x="1"/>
        <item x="2"/>
        <item x="0"/>
        <item x="3"/>
        <item t="default"/>
      </items>
    </pivotField>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646666-1244-4BF0-9A87-8B90D84DADAF}"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6" firstHeaderRow="1" firstDataRow="1" firstDataCol="1"/>
  <pivotFields count="24">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2"/>
        <item x="3"/>
        <item x="1"/>
        <item t="default"/>
      </items>
    </pivotField>
    <pivotField showAll="0"/>
    <pivotField showAll="0">
      <items count="4">
        <item x="1"/>
        <item x="0"/>
        <item x="2"/>
        <item t="default"/>
      </items>
    </pivotField>
    <pivotField showAll="0">
      <items count="5">
        <item x="1"/>
        <item x="2"/>
        <item x="0"/>
        <item x="3"/>
        <item t="default"/>
      </items>
    </pivotField>
    <pivotField showAll="0"/>
    <pivotField showAll="0"/>
    <pivotField showAll="0"/>
    <pivotField showAll="0"/>
    <pivotField showAll="0"/>
    <pivotField showAll="0"/>
  </pivotFields>
  <rowFields count="1">
    <field x="0"/>
  </rowFields>
  <rowItems count="3">
    <i>
      <x/>
    </i>
    <i>
      <x v="1"/>
    </i>
    <i t="grand">
      <x/>
    </i>
  </rowItems>
  <colItems count="1">
    <i/>
  </colItems>
  <dataFields count="1">
    <dataField name="Count of gender" fld="0" subtotal="count" baseField="0" baseItem="0"/>
  </dataFields>
  <chartFormats count="9">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0" count="1" selected="0">
            <x v="0"/>
          </reference>
        </references>
      </pivotArea>
    </chartFormat>
    <chartFormat chart="5" format="2">
      <pivotArea type="data" outline="0" fieldPosition="0">
        <references count="2">
          <reference field="4294967294" count="1" selected="0">
            <x v="0"/>
          </reference>
          <reference field="0" count="1" selected="0">
            <x v="1"/>
          </reference>
        </references>
      </pivotArea>
    </chartFormat>
    <chartFormat chart="9" format="3" series="1">
      <pivotArea type="data" outline="0" fieldPosition="0">
        <references count="1">
          <reference field="4294967294" count="1" selected="0">
            <x v="0"/>
          </reference>
        </references>
      </pivotArea>
    </chartFormat>
    <chartFormat chart="9" format="4">
      <pivotArea type="data" outline="0" fieldPosition="0">
        <references count="2">
          <reference field="4294967294" count="1" selected="0">
            <x v="0"/>
          </reference>
          <reference field="0" count="1" selected="0">
            <x v="0"/>
          </reference>
        </references>
      </pivotArea>
    </chartFormat>
    <chartFormat chart="9" format="5">
      <pivotArea type="data" outline="0" fieldPosition="0">
        <references count="2">
          <reference field="4294967294" count="1" selected="0">
            <x v="0"/>
          </reference>
          <reference field="0" count="1" selected="0">
            <x v="1"/>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0" count="1" selected="0">
            <x v="0"/>
          </reference>
        </references>
      </pivotArea>
    </chartFormat>
    <chartFormat chart="14"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1948A2-961A-4270-9624-8476EBEF5838}"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0:M27" firstHeaderRow="1" firstDataRow="1" firstDataCol="0"/>
  <pivotFields count="24">
    <pivotField showAll="0">
      <items count="3">
        <item x="0"/>
        <item x="1"/>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0"/>
        <item x="2"/>
        <item x="3"/>
        <item x="1"/>
        <item t="default"/>
      </items>
    </pivotField>
    <pivotField showAll="0"/>
    <pivotField showAll="0">
      <items count="4">
        <item x="1"/>
        <item x="0"/>
        <item x="2"/>
        <item t="default"/>
      </items>
    </pivotField>
    <pivotField showAll="0">
      <items count="5">
        <item x="1"/>
        <item x="2"/>
        <item x="0"/>
        <item x="3"/>
        <item t="default"/>
      </items>
    </pivotField>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93FBAB-7A21-4A26-BE9F-3346CE15B53E}"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3:I5" firstHeaderRow="1" firstDataRow="1" firstDataCol="1"/>
  <pivotFields count="24">
    <pivotField showAll="0">
      <items count="3">
        <item x="0"/>
        <item x="1"/>
        <item t="default"/>
      </items>
    </pivotField>
    <pivotField showAll="0"/>
    <pivotField showAll="0"/>
    <pivotField showAll="0"/>
    <pivotField showAll="0">
      <items count="7">
        <item x="3"/>
        <item h="1" x="0"/>
        <item h="1" x="1"/>
        <item h="1" x="5"/>
        <item h="1" x="4"/>
        <item h="1" x="2"/>
        <item t="default"/>
      </items>
    </pivotField>
    <pivotField showAll="0"/>
    <pivotField showAll="0"/>
    <pivotField showAll="0"/>
    <pivotField showAll="0"/>
    <pivotField showAll="0"/>
    <pivotField axis="axisRow" dataField="1" showAll="0">
      <items count="3">
        <item h="1" x="1"/>
        <item x="0"/>
        <item t="default"/>
      </items>
    </pivotField>
    <pivotField showAll="0"/>
    <pivotField showAll="0"/>
    <pivotField showAll="0"/>
    <pivotField showAll="0">
      <items count="5">
        <item x="0"/>
        <item x="2"/>
        <item x="3"/>
        <item x="1"/>
        <item t="default"/>
      </items>
    </pivotField>
    <pivotField showAll="0"/>
    <pivotField showAll="0">
      <items count="4">
        <item x="1"/>
        <item x="0"/>
        <item x="2"/>
        <item t="default"/>
      </items>
    </pivotField>
    <pivotField showAll="0">
      <items count="5">
        <item x="1"/>
        <item x="2"/>
        <item x="0"/>
        <item x="3"/>
        <item t="default"/>
      </items>
    </pivotField>
    <pivotField showAll="0"/>
    <pivotField showAll="0"/>
    <pivotField showAll="0"/>
    <pivotField showAll="0"/>
    <pivotField showAll="0"/>
    <pivotField showAll="0"/>
  </pivotFields>
  <rowFields count="1">
    <field x="10"/>
  </rowFields>
  <rowItems count="2">
    <i>
      <x v="1"/>
    </i>
    <i t="grand">
      <x/>
    </i>
  </rowItems>
  <colItems count="1">
    <i/>
  </colItems>
  <dataFields count="1">
    <dataField name="Count of Stock_Marktet"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F118CB-A515-4F80-AD2C-E46EC8B75EF8}" name="PivotTable1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zz">
  <location ref="A3:G4" firstHeaderRow="0" firstDataRow="1" firstDataCol="0"/>
  <pivotFields count="24">
    <pivotField showAll="0">
      <items count="3">
        <item x="0"/>
        <item x="1"/>
        <item t="default"/>
      </items>
    </pivotField>
    <pivotField showAll="0"/>
    <pivotField showAll="0"/>
    <pivotField dataField="1" showAll="0">
      <items count="7">
        <item x="0"/>
        <item x="3"/>
        <item x="2"/>
        <item x="1"/>
        <item x="5"/>
        <item x="4"/>
        <item t="default"/>
      </items>
    </pivotField>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items count="5">
        <item x="0"/>
        <item x="2"/>
        <item x="3"/>
        <item x="1"/>
        <item t="default"/>
      </items>
    </pivotField>
    <pivotField showAll="0"/>
    <pivotField showAll="0">
      <items count="4">
        <item x="1"/>
        <item x="0"/>
        <item x="2"/>
        <item t="default"/>
      </items>
    </pivotField>
    <pivotField showAll="0">
      <items count="5">
        <item x="1"/>
        <item x="2"/>
        <item x="0"/>
        <item x="3"/>
        <item t="default"/>
      </items>
    </pivotField>
    <pivotField showAll="0"/>
    <pivotField showAll="0"/>
    <pivotField showAll="0"/>
    <pivotField showAll="0"/>
    <pivotField showAll="0"/>
    <pivotField showAll="0"/>
  </pivotFields>
  <rowItems count="1">
    <i/>
  </rowItems>
  <colFields count="1">
    <field x="-2"/>
  </colFields>
  <colItems count="7">
    <i>
      <x/>
    </i>
    <i i="1">
      <x v="1"/>
    </i>
    <i i="2">
      <x v="2"/>
    </i>
    <i i="3">
      <x v="3"/>
    </i>
    <i i="4">
      <x v="4"/>
    </i>
    <i i="5">
      <x v="5"/>
    </i>
    <i i="6">
      <x v="6"/>
    </i>
  </colItems>
  <dataFields count="7">
    <dataField name=" Equity_Market" fld="4" baseField="0" baseItem="1"/>
    <dataField name="Sum of Debentures" fld="5" baseField="0" baseItem="0"/>
    <dataField name="Sum of Government_Bonds" fld="6" baseField="0" baseItem="0"/>
    <dataField name="Sum of Fixed_Deposits" fld="7" baseField="0" baseItem="0"/>
    <dataField name="Sum of PPF" fld="8" baseField="0" baseItem="0"/>
    <dataField name=" Gold" fld="9" baseField="0" baseItem="5"/>
    <dataField name=" Mutual_Funds" fld="3" baseField="0" baseItem="6"/>
  </dataFields>
  <chartFormats count="21">
    <chartFormat chart="1" format="15" series="1">
      <pivotArea type="data" outline="0" fieldPosition="0">
        <references count="1">
          <reference field="4294967294" count="1" selected="0">
            <x v="0"/>
          </reference>
        </references>
      </pivotArea>
    </chartFormat>
    <chartFormat chart="1" format="16" series="1">
      <pivotArea type="data" outline="0" fieldPosition="0">
        <references count="1">
          <reference field="4294967294" count="1" selected="0">
            <x v="1"/>
          </reference>
        </references>
      </pivotArea>
    </chartFormat>
    <chartFormat chart="1" format="17" series="1">
      <pivotArea type="data" outline="0" fieldPosition="0">
        <references count="1">
          <reference field="4294967294" count="1" selected="0">
            <x v="2"/>
          </reference>
        </references>
      </pivotArea>
    </chartFormat>
    <chartFormat chart="1" format="18" series="1">
      <pivotArea type="data" outline="0" fieldPosition="0">
        <references count="1">
          <reference field="4294967294" count="1" selected="0">
            <x v="3"/>
          </reference>
        </references>
      </pivotArea>
    </chartFormat>
    <chartFormat chart="1" format="19" series="1">
      <pivotArea type="data" outline="0" fieldPosition="0">
        <references count="1">
          <reference field="4294967294" count="1" selected="0">
            <x v="4"/>
          </reference>
        </references>
      </pivotArea>
    </chartFormat>
    <chartFormat chart="1" format="20" series="1">
      <pivotArea type="data" outline="0" fieldPosition="0">
        <references count="1">
          <reference field="4294967294" count="1" selected="0">
            <x v="5"/>
          </reference>
        </references>
      </pivotArea>
    </chartFormat>
    <chartFormat chart="1" format="21" series="1">
      <pivotArea type="data" outline="0" fieldPosition="0">
        <references count="1">
          <reference field="4294967294" count="1" selected="0">
            <x v="6"/>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3"/>
          </reference>
        </references>
      </pivotArea>
    </chartFormat>
    <chartFormat chart="6" format="4" series="1">
      <pivotArea type="data" outline="0" fieldPosition="0">
        <references count="1">
          <reference field="4294967294" count="1" selected="0">
            <x v="4"/>
          </reference>
        </references>
      </pivotArea>
    </chartFormat>
    <chartFormat chart="6" format="5" series="1">
      <pivotArea type="data" outline="0" fieldPosition="0">
        <references count="1">
          <reference field="4294967294" count="1" selected="0">
            <x v="5"/>
          </reference>
        </references>
      </pivotArea>
    </chartFormat>
    <chartFormat chart="6" format="6" series="1">
      <pivotArea type="data" outline="0" fieldPosition="0">
        <references count="1">
          <reference field="4294967294" count="1" selected="0">
            <x v="6"/>
          </reference>
        </references>
      </pivotArea>
    </chartFormat>
    <chartFormat chart="12" format="14" series="1">
      <pivotArea type="data" outline="0" fieldPosition="0">
        <references count="1">
          <reference field="4294967294" count="1" selected="0">
            <x v="0"/>
          </reference>
        </references>
      </pivotArea>
    </chartFormat>
    <chartFormat chart="12" format="15" series="1">
      <pivotArea type="data" outline="0" fieldPosition="0">
        <references count="1">
          <reference field="4294967294" count="1" selected="0">
            <x v="1"/>
          </reference>
        </references>
      </pivotArea>
    </chartFormat>
    <chartFormat chart="12" format="16" series="1">
      <pivotArea type="data" outline="0" fieldPosition="0">
        <references count="1">
          <reference field="4294967294" count="1" selected="0">
            <x v="2"/>
          </reference>
        </references>
      </pivotArea>
    </chartFormat>
    <chartFormat chart="12" format="17" series="1">
      <pivotArea type="data" outline="0" fieldPosition="0">
        <references count="1">
          <reference field="4294967294" count="1" selected="0">
            <x v="3"/>
          </reference>
        </references>
      </pivotArea>
    </chartFormat>
    <chartFormat chart="12" format="18" series="1">
      <pivotArea type="data" outline="0" fieldPosition="0">
        <references count="1">
          <reference field="4294967294" count="1" selected="0">
            <x v="4"/>
          </reference>
        </references>
      </pivotArea>
    </chartFormat>
    <chartFormat chart="12" format="19" series="1">
      <pivotArea type="data" outline="0" fieldPosition="0">
        <references count="1">
          <reference field="4294967294" count="1" selected="0">
            <x v="5"/>
          </reference>
        </references>
      </pivotArea>
    </chartFormat>
    <chartFormat chart="12" format="20" series="1">
      <pivotArea type="data" outline="0" fieldPosition="0">
        <references count="1">
          <reference field="429496729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B6C85E2-BC46-4949-8A1B-0830069EF0CC}"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3:G7" firstHeaderRow="1" firstDataRow="1" firstDataCol="1"/>
  <pivotFields count="24">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2"/>
        <item x="3"/>
        <item x="1"/>
        <item t="default"/>
      </items>
    </pivotField>
    <pivotField showAll="0"/>
    <pivotField showAll="0">
      <items count="4">
        <item x="1"/>
        <item x="0"/>
        <item x="2"/>
        <item t="default"/>
      </items>
    </pivotField>
    <pivotField showAll="0">
      <items count="5">
        <item x="1"/>
        <item x="2"/>
        <item x="0"/>
        <item x="3"/>
        <item t="default"/>
      </items>
    </pivotField>
    <pivotField showAll="0"/>
    <pivotField showAll="0"/>
    <pivotField axis="axisRow" dataField="1" showAll="0">
      <items count="4">
        <item x="0"/>
        <item x="2"/>
        <item x="1"/>
        <item t="default"/>
      </items>
    </pivotField>
    <pivotField showAll="0"/>
    <pivotField showAll="0"/>
    <pivotField showAll="0"/>
  </pivotFields>
  <rowFields count="1">
    <field x="20"/>
  </rowFields>
  <rowItems count="4">
    <i>
      <x/>
    </i>
    <i>
      <x v="1"/>
    </i>
    <i>
      <x v="2"/>
    </i>
    <i t="grand">
      <x/>
    </i>
  </rowItems>
  <colItems count="1">
    <i/>
  </colItems>
  <dataFields count="1">
    <dataField name="Count of Reason_Mutual" fld="2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41FA87-6124-4D04-84CD-B1F109C32103}"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24">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2"/>
        <item x="3"/>
        <item x="1"/>
        <item t="default"/>
      </items>
    </pivotField>
    <pivotField showAll="0"/>
    <pivotField showAll="0">
      <items count="4">
        <item x="1"/>
        <item x="0"/>
        <item x="2"/>
        <item t="default"/>
      </items>
    </pivotField>
    <pivotField showAll="0">
      <items count="5">
        <item x="1"/>
        <item x="2"/>
        <item x="0"/>
        <item x="3"/>
        <item t="default"/>
      </items>
    </pivotField>
    <pivotField showAll="0"/>
    <pivotField axis="axisRow" dataField="1" showAll="0">
      <items count="4">
        <item x="0"/>
        <item x="1"/>
        <item x="2"/>
        <item t="default"/>
      </items>
    </pivotField>
    <pivotField showAll="0"/>
    <pivotField showAll="0"/>
    <pivotField showAll="0"/>
    <pivotField showAll="0"/>
  </pivotFields>
  <rowFields count="1">
    <field x="19"/>
  </rowFields>
  <rowItems count="4">
    <i>
      <x/>
    </i>
    <i>
      <x v="1"/>
    </i>
    <i>
      <x v="2"/>
    </i>
    <i t="grand">
      <x/>
    </i>
  </rowItems>
  <colItems count="1">
    <i/>
  </colItems>
  <dataFields count="1">
    <dataField name="Count of Reason_Equity" fld="19"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5CF9D50-588F-438C-AA7A-77A4B1AD8D64}"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N3:O7" firstHeaderRow="1" firstDataRow="1" firstDataCol="1"/>
  <pivotFields count="24">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2"/>
        <item x="3"/>
        <item x="1"/>
        <item t="default"/>
      </items>
    </pivotField>
    <pivotField showAll="0"/>
    <pivotField showAll="0">
      <items count="4">
        <item x="1"/>
        <item x="0"/>
        <item x="2"/>
        <item t="default"/>
      </items>
    </pivotField>
    <pivotField showAll="0">
      <items count="5">
        <item x="1"/>
        <item x="2"/>
        <item x="0"/>
        <item x="3"/>
        <item t="default"/>
      </items>
    </pivotField>
    <pivotField showAll="0"/>
    <pivotField showAll="0"/>
    <pivotField showAll="0"/>
    <pivotField showAll="0"/>
    <pivotField axis="axisRow" dataField="1" showAll="0">
      <items count="4">
        <item x="0"/>
        <item x="1"/>
        <item x="2"/>
        <item t="default"/>
      </items>
    </pivotField>
    <pivotField showAll="0"/>
  </pivotFields>
  <rowFields count="1">
    <field x="22"/>
  </rowFields>
  <rowItems count="4">
    <i>
      <x/>
    </i>
    <i>
      <x v="1"/>
    </i>
    <i>
      <x v="2"/>
    </i>
    <i t="grand">
      <x/>
    </i>
  </rowItems>
  <colItems count="1">
    <i/>
  </colItems>
  <dataFields count="1">
    <dataField name="Count of Reason_FD" fld="2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BD8C0B0-AEB9-4471-9528-76284C157CD8}"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3:J7" firstHeaderRow="1" firstDataRow="1" firstDataCol="1"/>
  <pivotFields count="24">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2"/>
        <item x="3"/>
        <item x="1"/>
        <item t="default"/>
      </items>
    </pivotField>
    <pivotField showAll="0"/>
    <pivotField showAll="0">
      <items count="4">
        <item x="1"/>
        <item x="0"/>
        <item x="2"/>
        <item t="default"/>
      </items>
    </pivotField>
    <pivotField showAll="0">
      <items count="5">
        <item x="1"/>
        <item x="2"/>
        <item x="0"/>
        <item x="3"/>
        <item t="default"/>
      </items>
    </pivotField>
    <pivotField showAll="0"/>
    <pivotField showAll="0"/>
    <pivotField showAll="0"/>
    <pivotField axis="axisRow" dataField="1" showAll="0">
      <items count="4">
        <item x="1"/>
        <item x="0"/>
        <item x="2"/>
        <item t="default"/>
      </items>
    </pivotField>
    <pivotField showAll="0"/>
    <pivotField showAll="0"/>
  </pivotFields>
  <rowFields count="1">
    <field x="21"/>
  </rowFields>
  <rowItems count="4">
    <i>
      <x/>
    </i>
    <i>
      <x v="1"/>
    </i>
    <i>
      <x v="2"/>
    </i>
    <i t="grand">
      <x/>
    </i>
  </rowItems>
  <colItems count="1">
    <i/>
  </colItems>
  <dataFields count="1">
    <dataField name="Count of Reason_Bonds" fld="2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F79AD3C-3F25-4179-B5EB-224B6B8752C3}" name="PivotTable8"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1:O38" firstHeaderRow="1" firstDataRow="1" firstDataCol="0"/>
  <pivotFields count="24">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2"/>
        <item x="3"/>
        <item x="1"/>
        <item t="default"/>
      </items>
    </pivotField>
    <pivotField showAll="0"/>
    <pivotField showAll="0">
      <items count="4">
        <item x="1"/>
        <item x="0"/>
        <item x="2"/>
        <item t="default"/>
      </items>
    </pivotField>
    <pivotField showAll="0">
      <items count="5">
        <item x="1"/>
        <item x="2"/>
        <item x="0"/>
        <item x="3"/>
        <item t="default"/>
      </items>
    </pivotField>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061D186-3EB7-4873-813D-B4458C16F7DA}"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6:K23" firstHeaderRow="1" firstDataRow="1" firstDataCol="0"/>
  <pivotFields count="24">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2"/>
        <item x="3"/>
        <item x="1"/>
        <item t="default"/>
      </items>
    </pivotField>
    <pivotField showAll="0"/>
    <pivotField showAll="0">
      <items count="4">
        <item x="1"/>
        <item x="0"/>
        <item x="2"/>
        <item t="default"/>
      </items>
    </pivotField>
    <pivotField showAll="0">
      <items count="5">
        <item x="1"/>
        <item x="2"/>
        <item x="0"/>
        <item x="3"/>
        <item t="default"/>
      </items>
    </pivotField>
    <pivotField showAll="0">
      <items count="4">
        <item x="2"/>
        <item x="1"/>
        <item x="0"/>
        <item t="default"/>
      </items>
    </pivotField>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2FBA2DE-914C-441C-A449-FD4141BBB3DF}"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3:F8" firstHeaderRow="1" firstDataRow="1" firstDataCol="1"/>
  <pivotFields count="24">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2"/>
        <item x="3"/>
        <item x="1"/>
        <item t="default"/>
      </items>
    </pivotField>
    <pivotField showAll="0"/>
    <pivotField showAll="0">
      <items count="4">
        <item x="1"/>
        <item x="0"/>
        <item x="2"/>
        <item t="default"/>
      </items>
    </pivotField>
    <pivotField showAll="0">
      <items count="5">
        <item x="1"/>
        <item x="2"/>
        <item x="0"/>
        <item x="3"/>
        <item t="default"/>
      </items>
    </pivotField>
    <pivotField showAll="0"/>
    <pivotField showAll="0"/>
    <pivotField showAll="0"/>
    <pivotField showAll="0"/>
    <pivotField showAll="0"/>
    <pivotField axis="axisRow" dataField="1" showAll="0">
      <items count="5">
        <item x="1"/>
        <item x="3"/>
        <item x="0"/>
        <item x="2"/>
        <item t="default"/>
      </items>
    </pivotField>
  </pivotFields>
  <rowFields count="1">
    <field x="23"/>
  </rowFields>
  <rowItems count="5">
    <i>
      <x/>
    </i>
    <i>
      <x v="1"/>
    </i>
    <i>
      <x v="2"/>
    </i>
    <i>
      <x v="3"/>
    </i>
    <i t="grand">
      <x/>
    </i>
  </rowItems>
  <colItems count="1">
    <i/>
  </colItems>
  <dataFields count="1">
    <dataField name="Count of Source" fld="23"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D3A24EF-D865-42C6-983C-1732555A6445}"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24">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2"/>
        <item x="3"/>
        <item x="1"/>
        <item t="default"/>
      </items>
    </pivotField>
    <pivotField showAll="0"/>
    <pivotField showAll="0">
      <items count="4">
        <item x="1"/>
        <item x="0"/>
        <item x="2"/>
        <item t="default"/>
      </items>
    </pivotField>
    <pivotField showAll="0">
      <items count="5">
        <item x="1"/>
        <item x="2"/>
        <item x="0"/>
        <item x="3"/>
        <item t="default"/>
      </items>
    </pivotField>
    <pivotField axis="axisRow" dataField="1" showAll="0">
      <items count="4">
        <item x="2"/>
        <item x="1"/>
        <item x="0"/>
        <item t="default"/>
      </items>
    </pivotField>
    <pivotField showAll="0"/>
    <pivotField showAll="0"/>
    <pivotField showAll="0"/>
    <pivotField showAll="0"/>
    <pivotField showAll="0"/>
  </pivotFields>
  <rowFields count="1">
    <field x="18"/>
  </rowFields>
  <rowItems count="4">
    <i>
      <x/>
    </i>
    <i>
      <x v="1"/>
    </i>
    <i>
      <x v="2"/>
    </i>
    <i t="grand">
      <x/>
    </i>
  </rowItems>
  <colItems count="1">
    <i/>
  </colItems>
  <dataFields count="1">
    <dataField name="Count of What are your savings objectives?" fld="18"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8" count="1" selected="0">
            <x v="0"/>
          </reference>
        </references>
      </pivotArea>
    </chartFormat>
    <chartFormat chart="0" format="2">
      <pivotArea type="data" outline="0" fieldPosition="0">
        <references count="2">
          <reference field="4294967294" count="1" selected="0">
            <x v="0"/>
          </reference>
          <reference field="18" count="1" selected="0">
            <x v="1"/>
          </reference>
        </references>
      </pivotArea>
    </chartFormat>
    <chartFormat chart="0" format="3">
      <pivotArea type="data" outline="0" fieldPosition="0">
        <references count="2">
          <reference field="4294967294" count="1" selected="0">
            <x v="0"/>
          </reference>
          <reference field="18" count="1" selected="0">
            <x v="2"/>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18" count="1" selected="0">
            <x v="0"/>
          </reference>
        </references>
      </pivotArea>
    </chartFormat>
    <chartFormat chart="11" format="10">
      <pivotArea type="data" outline="0" fieldPosition="0">
        <references count="2">
          <reference field="4294967294" count="1" selected="0">
            <x v="0"/>
          </reference>
          <reference field="18" count="1" selected="0">
            <x v="1"/>
          </reference>
        </references>
      </pivotArea>
    </chartFormat>
    <chartFormat chart="11" format="11">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CE7239D-2932-4CE8-9EFB-9C8FCE865DD9}"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3:Z20" firstHeaderRow="1" firstDataRow="1" firstDataCol="0"/>
  <pivotFields count="24">
    <pivotField showAll="0">
      <items count="3">
        <item x="0"/>
        <item x="1"/>
        <item t="default"/>
      </items>
    </pivotField>
    <pivotField showAll="0">
      <items count="15">
        <item x="6"/>
        <item x="3"/>
        <item x="1"/>
        <item x="4"/>
        <item x="11"/>
        <item x="12"/>
        <item x="5"/>
        <item x="10"/>
        <item x="9"/>
        <item x="2"/>
        <item x="8"/>
        <item x="13"/>
        <item x="0"/>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2"/>
        <item x="3"/>
        <item x="1"/>
        <item t="default"/>
      </items>
    </pivotField>
    <pivotField showAll="0"/>
    <pivotField showAll="0">
      <items count="4">
        <item x="1"/>
        <item x="0"/>
        <item x="2"/>
        <item t="default"/>
      </items>
    </pivotField>
    <pivotField showAll="0">
      <items count="5">
        <item x="1"/>
        <item x="2"/>
        <item x="0"/>
        <item x="3"/>
        <item t="default"/>
      </items>
    </pivotField>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4986C78-1987-4842-B2F5-D572C7BD2C57}"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16:W33" firstHeaderRow="1" firstDataRow="1" firstDataCol="0"/>
  <pivotFields count="24">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2"/>
        <item x="3"/>
        <item x="1"/>
        <item t="default"/>
      </items>
    </pivotField>
    <pivotField showAll="0"/>
    <pivotField showAll="0">
      <items count="4">
        <item x="1"/>
        <item x="0"/>
        <item x="2"/>
        <item t="default"/>
      </items>
    </pivotField>
    <pivotField showAll="0">
      <items count="5">
        <item x="1"/>
        <item x="2"/>
        <item x="0"/>
        <item x="3"/>
        <item t="default"/>
      </items>
    </pivotField>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hat_are_your_savings_objectives?" xr10:uid="{39D9BF6B-CACD-4E4C-BDA7-2ADAA9E1DD1D}" sourceName="What are your savings objectives?">
  <pivotTables>
    <pivotTable tabId="10" name="PivotTable1"/>
  </pivotTables>
  <data>
    <tabular pivotCacheId="640371575">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54390B0-88B5-4DC9-8347-E338306FE84B}" sourceName="gender">
  <pivotTables>
    <pivotTable tabId="6" name="PivotTable2"/>
    <pivotTable tabId="9" name="PivotTable2"/>
    <pivotTable tabId="9" name="PivotTable3"/>
    <pivotTable tabId="9" name="PivotTable4"/>
    <pivotTable tabId="9" name="PivotTable5"/>
    <pivotTable tabId="6" name="PivotTable1"/>
    <pivotTable tabId="8" name="PivotTable1"/>
    <pivotTable tabId="8" name="PivotTable17"/>
    <pivotTable tabId="8" name="PivotTable6"/>
    <pivotTable tabId="10" name="PivotTable1"/>
    <pivotTable tabId="10" name="PivotTable6"/>
    <pivotTable tabId="10" name="PivotTable7"/>
    <pivotTable tabId="10" name="PivotTable8"/>
    <pivotTable tabId="3" name="PivotTable1"/>
    <pivotTable tabId="4" name="PivotTable2"/>
    <pivotTable tabId="2" name="PivotTable3"/>
    <pivotTable tabId="2" name="PivotTable4"/>
  </pivotTables>
  <data>
    <tabular pivotCacheId="64037157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ct" xr10:uid="{B0F47A73-81B7-41C4-A3D1-FC5246C7FAEB}" sourceName="Expect">
  <pivotTables>
    <pivotTable tabId="4" name="PivotTable2"/>
    <pivotTable tabId="9" name="PivotTable2"/>
    <pivotTable tabId="9" name="PivotTable3"/>
    <pivotTable tabId="9" name="PivotTable4"/>
    <pivotTable tabId="9" name="PivotTable5"/>
    <pivotTable tabId="6" name="PivotTable1"/>
    <pivotTable tabId="6" name="PivotTable2"/>
    <pivotTable tabId="8" name="PivotTable1"/>
    <pivotTable tabId="8" name="PivotTable17"/>
    <pivotTable tabId="8" name="PivotTable6"/>
    <pivotTable tabId="10" name="PivotTable1"/>
    <pivotTable tabId="10" name="PivotTable6"/>
    <pivotTable tabId="10" name="PivotTable7"/>
    <pivotTable tabId="10" name="PivotTable8"/>
    <pivotTable tabId="3" name="PivotTable1"/>
    <pivotTable tabId="2" name="PivotTable3"/>
    <pivotTable tabId="2" name="PivotTable4"/>
  </pivotTables>
  <data>
    <tabular pivotCacheId="640371575">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uration" xr10:uid="{567F6FEE-389B-46F7-A539-566B5317BB3A}" sourceName="Duration">
  <pivotTables>
    <pivotTable tabId="2" name="PivotTable4"/>
    <pivotTable tabId="9" name="PivotTable2"/>
    <pivotTable tabId="9" name="PivotTable3"/>
    <pivotTable tabId="9" name="PivotTable4"/>
    <pivotTable tabId="9" name="PivotTable5"/>
    <pivotTable tabId="6" name="PivotTable1"/>
    <pivotTable tabId="6" name="PivotTable2"/>
    <pivotTable tabId="8" name="PivotTable1"/>
    <pivotTable tabId="8" name="PivotTable17"/>
    <pivotTable tabId="8" name="PivotTable6"/>
    <pivotTable tabId="10" name="PivotTable1"/>
    <pivotTable tabId="10" name="PivotTable6"/>
    <pivotTable tabId="10" name="PivotTable7"/>
    <pivotTable tabId="10" name="PivotTable8"/>
    <pivotTable tabId="3" name="PivotTable1"/>
    <pivotTable tabId="4" name="PivotTable2"/>
    <pivotTable tabId="2" name="PivotTable3"/>
  </pivotTables>
  <data>
    <tabular pivotCacheId="640371575">
      <items count="4">
        <i x="0" s="1"/>
        <i x="2" s="1"/>
        <i x="3"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enue" xr10:uid="{C298F186-3EA8-4072-AC15-3BF18395C985}" sourceName="Avenue">
  <pivotTables>
    <pivotTable tabId="8" name="PivotTable6"/>
    <pivotTable tabId="9" name="PivotTable2"/>
    <pivotTable tabId="9" name="PivotTable3"/>
    <pivotTable tabId="9" name="PivotTable4"/>
    <pivotTable tabId="9" name="PivotTable5"/>
    <pivotTable tabId="6" name="PivotTable1"/>
    <pivotTable tabId="6" name="PivotTable2"/>
    <pivotTable tabId="8" name="PivotTable1"/>
    <pivotTable tabId="8" name="PivotTable17"/>
    <pivotTable tabId="10" name="PivotTable1"/>
    <pivotTable tabId="10" name="PivotTable6"/>
    <pivotTable tabId="10" name="PivotTable7"/>
    <pivotTable tabId="10" name="PivotTable8"/>
    <pivotTable tabId="3" name="PivotTable1"/>
    <pivotTable tabId="4" name="PivotTable2"/>
    <pivotTable tabId="2" name="PivotTable3"/>
    <pivotTable tabId="2" name="PivotTable4"/>
  </pivotTables>
  <data>
    <tabular pivotCacheId="640371575">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pect" xr10:uid="{4D46B20B-1174-48C7-AF46-63B1ECF679C6}" cache="Slicer_Expect" caption="Expe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DC3C921-6D8B-4F47-BABF-341657CB9D51}" cache="Slicer_gender" caption="gende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venue" xr10:uid="{80EF03F9-09ED-43EC-8A78-16786C8C50CD}" cache="Slicer_Avenue" caption="Avenue"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hat are your savings objectives?" xr10:uid="{DDDDCB8D-0F22-448C-BC91-30BE6E309BE0}" cache="Slicer_What_are_your_savings_objectives?" caption="What are your savings objectives?" rowHeight="241300"/>
  <slicer name="gender 2" xr10:uid="{9467B222-BC1C-4DE4-A0A0-16F3B0B99BE2}" cache="Slicer_gender" caption="gender"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pect 1" xr10:uid="{EF9A93BC-0966-406D-A591-EF37A6A4A7D5}" cache="Slicer_Expect" caption="Expect" rowHeight="241300"/>
  <slicer name="Duration" xr10:uid="{E11A67A5-97A2-4D9E-94AC-30B238FDB16F}" cache="Slicer_Duration" caption="Duration"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hat are your savings objectives? 1" xr10:uid="{8DB91D54-4314-4414-B706-4E0EA20DD66F}" cache="Slicer_What_are_your_savings_objectives?" caption="What are your savings objectives?" rowHeight="241300"/>
  <slicer name="gender 1" xr10:uid="{4D5F45BB-580E-4B33-BDEC-E6C4F57003A1}" cache="Slicer_gender" caption="gender" rowHeight="241300"/>
  <slicer name="Expect 2" xr10:uid="{C0530C8D-BD8D-491E-BD72-94C26FAD26B9}" cache="Slicer_Expect" caption="Expect" startItem="1" rowHeight="241300"/>
  <slicer name="Duration 1" xr10:uid="{7D5B4365-5B7F-449D-9EBF-6CE63DF735BB}" cache="Slicer_Duration" caption="Duration" rowHeight="241300"/>
  <slicer name="Avenue 1" xr10:uid="{F2637CAD-123E-472D-A6DB-8C099939398C}" cache="Slicer_Avenue" caption="Avenu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3.x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openxmlformats.org/officeDocument/2006/relationships/drawing" Target="../drawings/drawing5.xml"/><Relationship Id="rId4"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microsoft.com/office/2007/relationships/slicer" Target="../slicers/slicer4.xml"/><Relationship Id="rId5" Type="http://schemas.openxmlformats.org/officeDocument/2006/relationships/drawing" Target="../drawings/drawing6.xml"/><Relationship Id="rId4" Type="http://schemas.openxmlformats.org/officeDocument/2006/relationships/pivotTable" Target="../pivotTables/pivotTable15.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7.xml"/><Relationship Id="rId1" Type="http://schemas.openxmlformats.org/officeDocument/2006/relationships/pivotTable" Target="../pivotTables/pivotTable16.xml"/><Relationship Id="rId4" Type="http://schemas.microsoft.com/office/2007/relationships/slicer" Target="../slicers/slicer5.xml"/></Relationships>
</file>

<file path=xl/worksheets/_rels/sheet9.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089F3-4CF4-4EE2-A6DA-50CBA9A8944C}">
  <dimension ref="A3:B8"/>
  <sheetViews>
    <sheetView topLeftCell="A2" workbookViewId="0">
      <selection activeCell="O12" sqref="O12"/>
    </sheetView>
  </sheetViews>
  <sheetFormatPr defaultRowHeight="15" x14ac:dyDescent="0.25"/>
  <cols>
    <col min="1" max="2" width="16.85546875" bestFit="1" customWidth="1"/>
  </cols>
  <sheetData>
    <row r="3" spans="1:2" x14ac:dyDescent="0.25">
      <c r="A3" s="1" t="s">
        <v>68</v>
      </c>
      <c r="B3" t="s">
        <v>70</v>
      </c>
    </row>
    <row r="4" spans="1:2" x14ac:dyDescent="0.25">
      <c r="A4" s="2" t="s">
        <v>29</v>
      </c>
      <c r="B4" s="12">
        <v>18</v>
      </c>
    </row>
    <row r="5" spans="1:2" x14ac:dyDescent="0.25">
      <c r="A5" s="2" t="s">
        <v>47</v>
      </c>
      <c r="B5" s="12">
        <v>19</v>
      </c>
    </row>
    <row r="6" spans="1:2" x14ac:dyDescent="0.25">
      <c r="A6" s="2" t="s">
        <v>54</v>
      </c>
      <c r="B6" s="12">
        <v>2</v>
      </c>
    </row>
    <row r="7" spans="1:2" x14ac:dyDescent="0.25">
      <c r="A7" s="2" t="s">
        <v>40</v>
      </c>
      <c r="B7" s="12">
        <v>1</v>
      </c>
    </row>
    <row r="8" spans="1:2" x14ac:dyDescent="0.25">
      <c r="A8" s="2" t="s">
        <v>69</v>
      </c>
      <c r="B8" s="12">
        <v>40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A51CD-9A5A-4A0E-85A3-2B4656CC4669}">
  <dimension ref="A3:B7"/>
  <sheetViews>
    <sheetView workbookViewId="0">
      <selection activeCell="C17" sqref="C17"/>
    </sheetView>
  </sheetViews>
  <sheetFormatPr defaultRowHeight="15" x14ac:dyDescent="0.25"/>
  <cols>
    <col min="1" max="1" width="13.140625" bestFit="1" customWidth="1"/>
    <col min="2" max="2" width="15" bestFit="1" customWidth="1"/>
  </cols>
  <sheetData>
    <row r="3" spans="1:2" x14ac:dyDescent="0.25">
      <c r="A3" s="1" t="s">
        <v>68</v>
      </c>
      <c r="B3" t="s">
        <v>71</v>
      </c>
    </row>
    <row r="4" spans="1:2" x14ac:dyDescent="0.25">
      <c r="A4" s="2" t="s">
        <v>55</v>
      </c>
      <c r="B4" s="12">
        <v>3</v>
      </c>
    </row>
    <row r="5" spans="1:2" x14ac:dyDescent="0.25">
      <c r="A5" s="2" t="s">
        <v>31</v>
      </c>
      <c r="B5" s="12">
        <v>32</v>
      </c>
    </row>
    <row r="6" spans="1:2" x14ac:dyDescent="0.25">
      <c r="A6" s="2" t="s">
        <v>61</v>
      </c>
      <c r="B6" s="12">
        <v>5</v>
      </c>
    </row>
    <row r="7" spans="1:2" x14ac:dyDescent="0.25">
      <c r="A7" s="2" t="s">
        <v>69</v>
      </c>
      <c r="B7" s="12">
        <v>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7B127-2050-467F-A31C-03197F9AB2B3}">
  <dimension ref="A3:L25"/>
  <sheetViews>
    <sheetView topLeftCell="A2" workbookViewId="0">
      <selection activeCell="N27" sqref="N27"/>
    </sheetView>
  </sheetViews>
  <sheetFormatPr defaultRowHeight="15" x14ac:dyDescent="0.25"/>
  <cols>
    <col min="1" max="1" width="13.140625" bestFit="1" customWidth="1"/>
    <col min="2" max="2" width="15.42578125" bestFit="1" customWidth="1"/>
    <col min="3" max="3" width="11.28515625" bestFit="1" customWidth="1"/>
  </cols>
  <sheetData>
    <row r="3" spans="1:12" x14ac:dyDescent="0.25">
      <c r="A3" s="1" t="s">
        <v>68</v>
      </c>
      <c r="B3" t="s">
        <v>77</v>
      </c>
    </row>
    <row r="4" spans="1:12" x14ac:dyDescent="0.25">
      <c r="A4" s="2" t="s">
        <v>24</v>
      </c>
      <c r="B4" s="12">
        <v>15</v>
      </c>
    </row>
    <row r="5" spans="1:12" x14ac:dyDescent="0.25">
      <c r="A5" s="2" t="s">
        <v>46</v>
      </c>
      <c r="B5" s="12">
        <v>25</v>
      </c>
    </row>
    <row r="6" spans="1:12" x14ac:dyDescent="0.25">
      <c r="A6" s="2" t="s">
        <v>69</v>
      </c>
      <c r="B6" s="12">
        <v>40</v>
      </c>
    </row>
    <row r="8" spans="1:12" x14ac:dyDescent="0.25">
      <c r="J8" s="3"/>
      <c r="K8" s="4"/>
      <c r="L8" s="5"/>
    </row>
    <row r="9" spans="1:12" x14ac:dyDescent="0.25">
      <c r="J9" s="6"/>
      <c r="K9" s="7"/>
      <c r="L9" s="8"/>
    </row>
    <row r="10" spans="1:12" x14ac:dyDescent="0.25">
      <c r="J10" s="6"/>
      <c r="K10" s="7"/>
      <c r="L10" s="8"/>
    </row>
    <row r="11" spans="1:12" x14ac:dyDescent="0.25">
      <c r="J11" s="6"/>
      <c r="K11" s="7"/>
      <c r="L11" s="8"/>
    </row>
    <row r="12" spans="1:12" x14ac:dyDescent="0.25">
      <c r="J12" s="6"/>
      <c r="K12" s="7"/>
      <c r="L12" s="8"/>
    </row>
    <row r="13" spans="1:12" x14ac:dyDescent="0.25">
      <c r="J13" s="6"/>
      <c r="K13" s="7"/>
      <c r="L13" s="8"/>
    </row>
    <row r="14" spans="1:12" x14ac:dyDescent="0.25">
      <c r="J14" s="6"/>
      <c r="K14" s="7"/>
      <c r="L14" s="8"/>
    </row>
    <row r="15" spans="1:12" x14ac:dyDescent="0.25">
      <c r="J15" s="6"/>
      <c r="K15" s="7"/>
      <c r="L15" s="8"/>
    </row>
    <row r="16" spans="1:12" x14ac:dyDescent="0.25">
      <c r="J16" s="6"/>
      <c r="K16" s="7"/>
      <c r="L16" s="8"/>
    </row>
    <row r="17" spans="10:12" x14ac:dyDescent="0.25">
      <c r="J17" s="6"/>
      <c r="K17" s="7"/>
      <c r="L17" s="8"/>
    </row>
    <row r="18" spans="10:12" x14ac:dyDescent="0.25">
      <c r="J18" s="6"/>
      <c r="K18" s="7"/>
      <c r="L18" s="8"/>
    </row>
    <row r="19" spans="10:12" x14ac:dyDescent="0.25">
      <c r="J19" s="6"/>
      <c r="K19" s="7"/>
      <c r="L19" s="8"/>
    </row>
    <row r="20" spans="10:12" x14ac:dyDescent="0.25">
      <c r="J20" s="6"/>
      <c r="K20" s="7"/>
      <c r="L20" s="8"/>
    </row>
    <row r="21" spans="10:12" x14ac:dyDescent="0.25">
      <c r="J21" s="6"/>
      <c r="K21" s="7"/>
      <c r="L21" s="8"/>
    </row>
    <row r="22" spans="10:12" x14ac:dyDescent="0.25">
      <c r="J22" s="6"/>
      <c r="K22" s="7"/>
      <c r="L22" s="8"/>
    </row>
    <row r="23" spans="10:12" x14ac:dyDescent="0.25">
      <c r="J23" s="6"/>
      <c r="K23" s="7"/>
      <c r="L23" s="8"/>
    </row>
    <row r="24" spans="10:12" x14ac:dyDescent="0.25">
      <c r="J24" s="6"/>
      <c r="K24" s="7"/>
      <c r="L24" s="8"/>
    </row>
    <row r="25" spans="10:12" x14ac:dyDescent="0.25">
      <c r="J25" s="9"/>
      <c r="K25" s="10"/>
      <c r="L25" s="11"/>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EC897-0181-4673-BE03-E3DC6ED4B9C6}">
  <dimension ref="A3:M27"/>
  <sheetViews>
    <sheetView workbookViewId="0">
      <selection activeCell="J10" sqref="J10"/>
    </sheetView>
  </sheetViews>
  <sheetFormatPr defaultRowHeight="15" x14ac:dyDescent="0.25"/>
  <cols>
    <col min="1" max="1" width="14.5703125" bestFit="1" customWidth="1"/>
    <col min="2" max="2" width="18.28515625" bestFit="1" customWidth="1"/>
    <col min="3" max="3" width="25.85546875" bestFit="1" customWidth="1"/>
    <col min="4" max="4" width="21.5703125" bestFit="1" customWidth="1"/>
    <col min="5" max="5" width="10.85546875" bestFit="1" customWidth="1"/>
    <col min="6" max="6" width="5.7109375" bestFit="1" customWidth="1"/>
    <col min="7" max="7" width="14.28515625" bestFit="1" customWidth="1"/>
    <col min="8" max="8" width="13.140625" bestFit="1" customWidth="1"/>
    <col min="9" max="9" width="22.28515625" bestFit="1" customWidth="1"/>
    <col min="11" max="11" width="13.140625" bestFit="1" customWidth="1"/>
  </cols>
  <sheetData>
    <row r="3" spans="1:13" x14ac:dyDescent="0.25">
      <c r="A3" t="s">
        <v>82</v>
      </c>
      <c r="B3" t="s">
        <v>78</v>
      </c>
      <c r="C3" t="s">
        <v>79</v>
      </c>
      <c r="D3" t="s">
        <v>80</v>
      </c>
      <c r="E3" t="s">
        <v>81</v>
      </c>
      <c r="F3" t="s">
        <v>83</v>
      </c>
      <c r="G3" t="s">
        <v>84</v>
      </c>
      <c r="H3" s="1" t="s">
        <v>68</v>
      </c>
      <c r="I3" t="s">
        <v>85</v>
      </c>
    </row>
    <row r="4" spans="1:13" x14ac:dyDescent="0.25">
      <c r="A4" s="12">
        <v>139</v>
      </c>
      <c r="B4" s="12">
        <v>230</v>
      </c>
      <c r="C4" s="12">
        <v>186</v>
      </c>
      <c r="D4" s="12">
        <v>143</v>
      </c>
      <c r="E4" s="12">
        <v>81</v>
      </c>
      <c r="F4" s="12">
        <v>239</v>
      </c>
      <c r="G4" s="12">
        <v>102</v>
      </c>
      <c r="H4" s="2" t="s">
        <v>25</v>
      </c>
      <c r="I4" s="12">
        <v>35</v>
      </c>
    </row>
    <row r="5" spans="1:13" x14ac:dyDescent="0.25">
      <c r="H5" s="2" t="s">
        <v>69</v>
      </c>
      <c r="I5" s="12">
        <v>35</v>
      </c>
    </row>
    <row r="10" spans="1:13" x14ac:dyDescent="0.25">
      <c r="K10" s="3"/>
      <c r="L10" s="4"/>
      <c r="M10" s="5"/>
    </row>
    <row r="11" spans="1:13" x14ac:dyDescent="0.25">
      <c r="K11" s="6"/>
      <c r="L11" s="7"/>
      <c r="M11" s="8"/>
    </row>
    <row r="12" spans="1:13" x14ac:dyDescent="0.25">
      <c r="K12" s="6"/>
      <c r="L12" s="7"/>
      <c r="M12" s="8"/>
    </row>
    <row r="13" spans="1:13" x14ac:dyDescent="0.25">
      <c r="K13" s="6"/>
      <c r="L13" s="7"/>
      <c r="M13" s="8"/>
    </row>
    <row r="14" spans="1:13" x14ac:dyDescent="0.25">
      <c r="K14" s="6"/>
      <c r="L14" s="7"/>
      <c r="M14" s="8"/>
    </row>
    <row r="15" spans="1:13" x14ac:dyDescent="0.25">
      <c r="K15" s="6"/>
      <c r="L15" s="7"/>
      <c r="M15" s="8"/>
    </row>
    <row r="16" spans="1:13" x14ac:dyDescent="0.25">
      <c r="K16" s="6"/>
      <c r="L16" s="7"/>
      <c r="M16" s="8"/>
    </row>
    <row r="17" spans="11:13" x14ac:dyDescent="0.25">
      <c r="K17" s="6"/>
      <c r="L17" s="7"/>
      <c r="M17" s="8"/>
    </row>
    <row r="18" spans="11:13" x14ac:dyDescent="0.25">
      <c r="K18" s="6"/>
      <c r="L18" s="7"/>
      <c r="M18" s="8"/>
    </row>
    <row r="19" spans="11:13" x14ac:dyDescent="0.25">
      <c r="K19" s="6"/>
      <c r="L19" s="7"/>
      <c r="M19" s="8"/>
    </row>
    <row r="20" spans="11:13" x14ac:dyDescent="0.25">
      <c r="K20" s="6"/>
      <c r="L20" s="7"/>
      <c r="M20" s="8"/>
    </row>
    <row r="21" spans="11:13" x14ac:dyDescent="0.25">
      <c r="K21" s="6"/>
      <c r="L21" s="7"/>
      <c r="M21" s="8"/>
    </row>
    <row r="22" spans="11:13" x14ac:dyDescent="0.25">
      <c r="K22" s="6"/>
      <c r="L22" s="7"/>
      <c r="M22" s="8"/>
    </row>
    <row r="23" spans="11:13" x14ac:dyDescent="0.25">
      <c r="K23" s="6"/>
      <c r="L23" s="7"/>
      <c r="M23" s="8"/>
    </row>
    <row r="24" spans="11:13" x14ac:dyDescent="0.25">
      <c r="K24" s="6"/>
      <c r="L24" s="7"/>
      <c r="M24" s="8"/>
    </row>
    <row r="25" spans="11:13" x14ac:dyDescent="0.25">
      <c r="K25" s="6"/>
      <c r="L25" s="7"/>
      <c r="M25" s="8"/>
    </row>
    <row r="26" spans="11:13" x14ac:dyDescent="0.25">
      <c r="K26" s="6"/>
      <c r="L26" s="7"/>
      <c r="M26" s="8"/>
    </row>
    <row r="27" spans="11:13" x14ac:dyDescent="0.25">
      <c r="K27" s="9"/>
      <c r="L27" s="10"/>
      <c r="M27" s="11"/>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262ED-B7AE-452D-A915-FC764624CB81}">
  <dimension ref="A3:O7"/>
  <sheetViews>
    <sheetView workbookViewId="0">
      <selection activeCell="J3" sqref="J3"/>
    </sheetView>
  </sheetViews>
  <sheetFormatPr defaultRowHeight="15" x14ac:dyDescent="0.25"/>
  <cols>
    <col min="1" max="1" width="19.28515625" bestFit="1" customWidth="1"/>
    <col min="2" max="2" width="22.42578125" bestFit="1" customWidth="1"/>
    <col min="6" max="6" width="19" bestFit="1" customWidth="1"/>
    <col min="7" max="7" width="23.28515625" bestFit="1" customWidth="1"/>
    <col min="8" max="8" width="19" bestFit="1" customWidth="1"/>
    <col min="9" max="9" width="15.5703125" bestFit="1" customWidth="1"/>
    <col min="10" max="10" width="22.28515625" bestFit="1" customWidth="1"/>
    <col min="14" max="14" width="18" bestFit="1" customWidth="1"/>
    <col min="15" max="15" width="19" bestFit="1" customWidth="1"/>
  </cols>
  <sheetData>
    <row r="3" spans="1:15" x14ac:dyDescent="0.25">
      <c r="A3" s="1" t="s">
        <v>68</v>
      </c>
      <c r="B3" t="s">
        <v>86</v>
      </c>
      <c r="F3" s="1" t="s">
        <v>68</v>
      </c>
      <c r="G3" t="s">
        <v>87</v>
      </c>
      <c r="I3" s="1" t="s">
        <v>68</v>
      </c>
      <c r="J3" t="s">
        <v>88</v>
      </c>
      <c r="N3" s="1" t="s">
        <v>68</v>
      </c>
      <c r="O3" t="s">
        <v>89</v>
      </c>
    </row>
    <row r="4" spans="1:15" x14ac:dyDescent="0.25">
      <c r="A4" s="2" t="s">
        <v>27</v>
      </c>
      <c r="B4" s="12">
        <v>30</v>
      </c>
      <c r="F4" s="2" t="s">
        <v>34</v>
      </c>
      <c r="G4" s="12">
        <v>24</v>
      </c>
      <c r="I4" s="2" t="s">
        <v>51</v>
      </c>
      <c r="J4" s="12">
        <v>26</v>
      </c>
      <c r="N4" s="2" t="s">
        <v>36</v>
      </c>
      <c r="O4" s="12">
        <v>18</v>
      </c>
    </row>
    <row r="5" spans="1:15" x14ac:dyDescent="0.25">
      <c r="A5" s="2" t="s">
        <v>43</v>
      </c>
      <c r="B5" s="12">
        <v>8</v>
      </c>
      <c r="F5" s="2" t="s">
        <v>56</v>
      </c>
      <c r="G5" s="12">
        <v>13</v>
      </c>
      <c r="I5" s="2" t="s">
        <v>35</v>
      </c>
      <c r="J5" s="12">
        <v>13</v>
      </c>
      <c r="N5" s="2" t="s">
        <v>44</v>
      </c>
      <c r="O5" s="12">
        <v>3</v>
      </c>
    </row>
    <row r="6" spans="1:15" x14ac:dyDescent="0.25">
      <c r="A6" s="2" t="s">
        <v>62</v>
      </c>
      <c r="B6" s="12">
        <v>2</v>
      </c>
      <c r="F6" s="2" t="s">
        <v>50</v>
      </c>
      <c r="G6" s="12">
        <v>3</v>
      </c>
      <c r="I6" s="2" t="s">
        <v>57</v>
      </c>
      <c r="J6" s="12">
        <v>1</v>
      </c>
      <c r="N6" s="2" t="s">
        <v>59</v>
      </c>
      <c r="O6" s="12">
        <v>19</v>
      </c>
    </row>
    <row r="7" spans="1:15" x14ac:dyDescent="0.25">
      <c r="A7" s="2" t="s">
        <v>69</v>
      </c>
      <c r="B7" s="12">
        <v>40</v>
      </c>
      <c r="F7" s="2" t="s">
        <v>69</v>
      </c>
      <c r="G7" s="12">
        <v>40</v>
      </c>
      <c r="I7" s="2" t="s">
        <v>69</v>
      </c>
      <c r="J7" s="12">
        <v>40</v>
      </c>
      <c r="N7" s="2" t="s">
        <v>69</v>
      </c>
      <c r="O7" s="12">
        <v>40</v>
      </c>
    </row>
  </sheetData>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34BEA-A408-4619-907B-CC813C25BF66}">
  <dimension ref="A3:O38"/>
  <sheetViews>
    <sheetView topLeftCell="D1" workbookViewId="0">
      <selection activeCell="J22" sqref="J22"/>
    </sheetView>
  </sheetViews>
  <sheetFormatPr defaultRowHeight="15" x14ac:dyDescent="0.25"/>
  <cols>
    <col min="1" max="1" width="15.5703125" bestFit="1" customWidth="1"/>
    <col min="2" max="2" width="40" bestFit="1" customWidth="1"/>
    <col min="5" max="5" width="26" bestFit="1" customWidth="1"/>
    <col min="6" max="6" width="15.140625" bestFit="1" customWidth="1"/>
    <col min="13" max="13" width="13.140625" bestFit="1" customWidth="1"/>
  </cols>
  <sheetData>
    <row r="3" spans="1:11" x14ac:dyDescent="0.25">
      <c r="A3" s="1" t="s">
        <v>68</v>
      </c>
      <c r="B3" t="s">
        <v>90</v>
      </c>
      <c r="E3" s="1" t="s">
        <v>68</v>
      </c>
      <c r="F3" t="s">
        <v>91</v>
      </c>
    </row>
    <row r="4" spans="1:11" x14ac:dyDescent="0.25">
      <c r="A4" s="2" t="s">
        <v>66</v>
      </c>
      <c r="B4" s="12">
        <v>3</v>
      </c>
      <c r="E4" s="2" t="s">
        <v>45</v>
      </c>
      <c r="F4" s="12">
        <v>16</v>
      </c>
    </row>
    <row r="5" spans="1:11" x14ac:dyDescent="0.25">
      <c r="A5" s="2" t="s">
        <v>42</v>
      </c>
      <c r="B5" s="12">
        <v>13</v>
      </c>
      <c r="E5" s="2" t="s">
        <v>58</v>
      </c>
      <c r="F5" s="12">
        <v>4</v>
      </c>
    </row>
    <row r="6" spans="1:11" x14ac:dyDescent="0.25">
      <c r="A6" s="2" t="s">
        <v>33</v>
      </c>
      <c r="B6" s="12">
        <v>24</v>
      </c>
      <c r="E6" s="2" t="s">
        <v>37</v>
      </c>
      <c r="F6" s="12">
        <v>14</v>
      </c>
      <c r="I6" s="3"/>
      <c r="J6" s="4"/>
      <c r="K6" s="5"/>
    </row>
    <row r="7" spans="1:11" x14ac:dyDescent="0.25">
      <c r="A7" s="2" t="s">
        <v>69</v>
      </c>
      <c r="B7" s="12">
        <v>40</v>
      </c>
      <c r="E7" s="2" t="s">
        <v>52</v>
      </c>
      <c r="F7" s="12">
        <v>6</v>
      </c>
      <c r="I7" s="6"/>
      <c r="J7" s="7"/>
      <c r="K7" s="8"/>
    </row>
    <row r="8" spans="1:11" x14ac:dyDescent="0.25">
      <c r="E8" s="2" t="s">
        <v>69</v>
      </c>
      <c r="F8" s="12">
        <v>40</v>
      </c>
      <c r="I8" s="6"/>
      <c r="J8" s="7"/>
      <c r="K8" s="8"/>
    </row>
    <row r="9" spans="1:11" x14ac:dyDescent="0.25">
      <c r="I9" s="6"/>
      <c r="J9" s="7"/>
      <c r="K9" s="8"/>
    </row>
    <row r="10" spans="1:11" x14ac:dyDescent="0.25">
      <c r="I10" s="6"/>
      <c r="J10" s="7"/>
      <c r="K10" s="8"/>
    </row>
    <row r="11" spans="1:11" x14ac:dyDescent="0.25">
      <c r="I11" s="6"/>
      <c r="J11" s="7"/>
      <c r="K11" s="8"/>
    </row>
    <row r="12" spans="1:11" x14ac:dyDescent="0.25">
      <c r="I12" s="6"/>
      <c r="J12" s="7"/>
      <c r="K12" s="8"/>
    </row>
    <row r="13" spans="1:11" x14ac:dyDescent="0.25">
      <c r="I13" s="6"/>
      <c r="J13" s="7"/>
      <c r="K13" s="8"/>
    </row>
    <row r="14" spans="1:11" x14ac:dyDescent="0.25">
      <c r="I14" s="6"/>
      <c r="J14" s="7"/>
      <c r="K14" s="8"/>
    </row>
    <row r="15" spans="1:11" x14ac:dyDescent="0.25">
      <c r="I15" s="6"/>
      <c r="J15" s="7"/>
      <c r="K15" s="8"/>
    </row>
    <row r="16" spans="1:11" x14ac:dyDescent="0.25">
      <c r="I16" s="6"/>
      <c r="J16" s="7"/>
      <c r="K16" s="8"/>
    </row>
    <row r="17" spans="9:15" x14ac:dyDescent="0.25">
      <c r="I17" s="6"/>
      <c r="J17" s="7"/>
      <c r="K17" s="8"/>
    </row>
    <row r="18" spans="9:15" x14ac:dyDescent="0.25">
      <c r="I18" s="6"/>
      <c r="J18" s="7"/>
      <c r="K18" s="8"/>
    </row>
    <row r="19" spans="9:15" x14ac:dyDescent="0.25">
      <c r="I19" s="6"/>
      <c r="J19" s="7"/>
      <c r="K19" s="8"/>
    </row>
    <row r="20" spans="9:15" x14ac:dyDescent="0.25">
      <c r="I20" s="6"/>
      <c r="J20" s="7"/>
      <c r="K20" s="8"/>
    </row>
    <row r="21" spans="9:15" x14ac:dyDescent="0.25">
      <c r="I21" s="6"/>
      <c r="J21" s="7"/>
      <c r="K21" s="8"/>
      <c r="M21" s="3"/>
      <c r="N21" s="4"/>
      <c r="O21" s="5"/>
    </row>
    <row r="22" spans="9:15" x14ac:dyDescent="0.25">
      <c r="I22" s="6"/>
      <c r="J22" s="7"/>
      <c r="K22" s="8"/>
      <c r="M22" s="6"/>
      <c r="N22" s="7"/>
      <c r="O22" s="8"/>
    </row>
    <row r="23" spans="9:15" x14ac:dyDescent="0.25">
      <c r="I23" s="9"/>
      <c r="J23" s="10"/>
      <c r="K23" s="11"/>
      <c r="M23" s="6"/>
      <c r="N23" s="7"/>
      <c r="O23" s="8"/>
    </row>
    <row r="24" spans="9:15" x14ac:dyDescent="0.25">
      <c r="M24" s="6"/>
      <c r="N24" s="7"/>
      <c r="O24" s="8"/>
    </row>
    <row r="25" spans="9:15" x14ac:dyDescent="0.25">
      <c r="M25" s="6"/>
      <c r="N25" s="7"/>
      <c r="O25" s="8"/>
    </row>
    <row r="26" spans="9:15" x14ac:dyDescent="0.25">
      <c r="M26" s="6"/>
      <c r="N26" s="7"/>
      <c r="O26" s="8"/>
    </row>
    <row r="27" spans="9:15" x14ac:dyDescent="0.25">
      <c r="M27" s="6"/>
      <c r="N27" s="7"/>
      <c r="O27" s="8"/>
    </row>
    <row r="28" spans="9:15" x14ac:dyDescent="0.25">
      <c r="M28" s="6"/>
      <c r="N28" s="7"/>
      <c r="O28" s="8"/>
    </row>
    <row r="29" spans="9:15" x14ac:dyDescent="0.25">
      <c r="M29" s="6"/>
      <c r="N29" s="7"/>
      <c r="O29" s="8"/>
    </row>
    <row r="30" spans="9:15" x14ac:dyDescent="0.25">
      <c r="M30" s="6"/>
      <c r="N30" s="7"/>
      <c r="O30" s="8"/>
    </row>
    <row r="31" spans="9:15" x14ac:dyDescent="0.25">
      <c r="M31" s="6"/>
      <c r="N31" s="7"/>
      <c r="O31" s="8"/>
    </row>
    <row r="32" spans="9:15" x14ac:dyDescent="0.25">
      <c r="M32" s="6"/>
      <c r="N32" s="7"/>
      <c r="O32" s="8"/>
    </row>
    <row r="33" spans="13:15" x14ac:dyDescent="0.25">
      <c r="M33" s="6"/>
      <c r="N33" s="7"/>
      <c r="O33" s="8"/>
    </row>
    <row r="34" spans="13:15" x14ac:dyDescent="0.25">
      <c r="M34" s="6"/>
      <c r="N34" s="7"/>
      <c r="O34" s="8"/>
    </row>
    <row r="35" spans="13:15" x14ac:dyDescent="0.25">
      <c r="M35" s="6"/>
      <c r="N35" s="7"/>
      <c r="O35" s="8"/>
    </row>
    <row r="36" spans="13:15" x14ac:dyDescent="0.25">
      <c r="M36" s="6"/>
      <c r="N36" s="7"/>
      <c r="O36" s="8"/>
    </row>
    <row r="37" spans="13:15" x14ac:dyDescent="0.25">
      <c r="M37" s="6"/>
      <c r="N37" s="7"/>
      <c r="O37" s="8"/>
    </row>
    <row r="38" spans="13:15" x14ac:dyDescent="0.25">
      <c r="M38" s="9"/>
      <c r="N38" s="10"/>
      <c r="O38" s="11"/>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7FA4E-E40C-449B-8F08-CE25ADAE8D5E}">
  <dimension ref="A1:X41"/>
  <sheetViews>
    <sheetView workbookViewId="0">
      <selection activeCell="E12" sqref="A1:X41"/>
    </sheetView>
  </sheetViews>
  <sheetFormatPr defaultRowHeight="15" x14ac:dyDescent="0.25"/>
  <cols>
    <col min="29" max="31" width="9.140625"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t="s">
        <v>24</v>
      </c>
      <c r="B2">
        <v>34</v>
      </c>
      <c r="C2" t="s">
        <v>25</v>
      </c>
      <c r="D2">
        <v>1</v>
      </c>
      <c r="E2">
        <v>2</v>
      </c>
      <c r="F2">
        <v>5</v>
      </c>
      <c r="G2">
        <v>3</v>
      </c>
      <c r="H2">
        <v>7</v>
      </c>
      <c r="I2">
        <v>6</v>
      </c>
      <c r="J2">
        <v>4</v>
      </c>
      <c r="K2" t="s">
        <v>25</v>
      </c>
      <c r="L2" t="s">
        <v>26</v>
      </c>
      <c r="M2" t="s">
        <v>27</v>
      </c>
      <c r="N2" t="s">
        <v>28</v>
      </c>
      <c r="O2" t="s">
        <v>29</v>
      </c>
      <c r="P2" t="s">
        <v>30</v>
      </c>
      <c r="Q2" t="s">
        <v>31</v>
      </c>
      <c r="R2" t="s">
        <v>32</v>
      </c>
      <c r="S2" t="s">
        <v>33</v>
      </c>
      <c r="T2" t="s">
        <v>27</v>
      </c>
      <c r="U2" t="s">
        <v>34</v>
      </c>
      <c r="V2" t="s">
        <v>35</v>
      </c>
      <c r="W2" t="s">
        <v>36</v>
      </c>
      <c r="X2" t="s">
        <v>37</v>
      </c>
    </row>
    <row r="3" spans="1:24" x14ac:dyDescent="0.25">
      <c r="A3" t="s">
        <v>24</v>
      </c>
      <c r="B3">
        <v>23</v>
      </c>
      <c r="C3" t="s">
        <v>25</v>
      </c>
      <c r="D3">
        <v>4</v>
      </c>
      <c r="E3">
        <v>3</v>
      </c>
      <c r="F3">
        <v>2</v>
      </c>
      <c r="G3">
        <v>1</v>
      </c>
      <c r="H3">
        <v>5</v>
      </c>
      <c r="I3">
        <v>6</v>
      </c>
      <c r="J3">
        <v>7</v>
      </c>
      <c r="K3" t="s">
        <v>38</v>
      </c>
      <c r="L3" t="s">
        <v>39</v>
      </c>
      <c r="M3" t="s">
        <v>27</v>
      </c>
      <c r="N3" t="s">
        <v>28</v>
      </c>
      <c r="O3" t="s">
        <v>40</v>
      </c>
      <c r="P3" t="s">
        <v>41</v>
      </c>
      <c r="Q3" t="s">
        <v>31</v>
      </c>
      <c r="R3" t="s">
        <v>32</v>
      </c>
      <c r="S3" t="s">
        <v>42</v>
      </c>
      <c r="T3" t="s">
        <v>43</v>
      </c>
      <c r="U3" t="s">
        <v>34</v>
      </c>
      <c r="V3" t="s">
        <v>35</v>
      </c>
      <c r="W3" t="s">
        <v>44</v>
      </c>
      <c r="X3" t="s">
        <v>45</v>
      </c>
    </row>
    <row r="4" spans="1:24" x14ac:dyDescent="0.25">
      <c r="A4" t="s">
        <v>46</v>
      </c>
      <c r="B4">
        <v>30</v>
      </c>
      <c r="C4" t="s">
        <v>25</v>
      </c>
      <c r="D4">
        <v>3</v>
      </c>
      <c r="E4">
        <v>6</v>
      </c>
      <c r="F4">
        <v>4</v>
      </c>
      <c r="G4">
        <v>2</v>
      </c>
      <c r="H4">
        <v>5</v>
      </c>
      <c r="I4">
        <v>1</v>
      </c>
      <c r="J4">
        <v>7</v>
      </c>
      <c r="K4" t="s">
        <v>25</v>
      </c>
      <c r="L4" t="s">
        <v>26</v>
      </c>
      <c r="M4" t="s">
        <v>27</v>
      </c>
      <c r="N4" t="s">
        <v>28</v>
      </c>
      <c r="O4" t="s">
        <v>47</v>
      </c>
      <c r="P4" t="s">
        <v>48</v>
      </c>
      <c r="Q4" t="s">
        <v>31</v>
      </c>
      <c r="R4" t="s">
        <v>49</v>
      </c>
      <c r="S4" t="s">
        <v>33</v>
      </c>
      <c r="T4" t="s">
        <v>27</v>
      </c>
      <c r="U4" t="s">
        <v>50</v>
      </c>
      <c r="V4" t="s">
        <v>51</v>
      </c>
      <c r="W4" t="s">
        <v>36</v>
      </c>
      <c r="X4" t="s">
        <v>52</v>
      </c>
    </row>
    <row r="5" spans="1:24" x14ac:dyDescent="0.25">
      <c r="A5" t="s">
        <v>46</v>
      </c>
      <c r="B5">
        <v>22</v>
      </c>
      <c r="C5" t="s">
        <v>25</v>
      </c>
      <c r="D5">
        <v>2</v>
      </c>
      <c r="E5">
        <v>1</v>
      </c>
      <c r="F5">
        <v>3</v>
      </c>
      <c r="G5">
        <v>7</v>
      </c>
      <c r="H5">
        <v>6</v>
      </c>
      <c r="I5">
        <v>4</v>
      </c>
      <c r="J5">
        <v>5</v>
      </c>
      <c r="K5" t="s">
        <v>25</v>
      </c>
      <c r="L5" t="s">
        <v>26</v>
      </c>
      <c r="M5" t="s">
        <v>53</v>
      </c>
      <c r="N5" t="s">
        <v>28</v>
      </c>
      <c r="O5" t="s">
        <v>54</v>
      </c>
      <c r="P5" t="s">
        <v>48</v>
      </c>
      <c r="Q5" t="s">
        <v>55</v>
      </c>
      <c r="R5" t="s">
        <v>49</v>
      </c>
      <c r="S5" t="s">
        <v>33</v>
      </c>
      <c r="T5" t="s">
        <v>43</v>
      </c>
      <c r="U5" t="s">
        <v>56</v>
      </c>
      <c r="V5" t="s">
        <v>57</v>
      </c>
      <c r="W5" t="s">
        <v>44</v>
      </c>
      <c r="X5" t="s">
        <v>58</v>
      </c>
    </row>
    <row r="6" spans="1:24" x14ac:dyDescent="0.25">
      <c r="A6" t="s">
        <v>24</v>
      </c>
      <c r="B6">
        <v>24</v>
      </c>
      <c r="C6" t="s">
        <v>38</v>
      </c>
      <c r="D6">
        <v>2</v>
      </c>
      <c r="E6">
        <v>1</v>
      </c>
      <c r="F6">
        <v>3</v>
      </c>
      <c r="G6">
        <v>6</v>
      </c>
      <c r="H6">
        <v>4</v>
      </c>
      <c r="I6">
        <v>5</v>
      </c>
      <c r="J6">
        <v>7</v>
      </c>
      <c r="K6" t="s">
        <v>38</v>
      </c>
      <c r="L6" t="s">
        <v>26</v>
      </c>
      <c r="M6" t="s">
        <v>53</v>
      </c>
      <c r="N6" t="s">
        <v>28</v>
      </c>
      <c r="O6" t="s">
        <v>54</v>
      </c>
      <c r="P6" t="s">
        <v>48</v>
      </c>
      <c r="Q6" t="s">
        <v>31</v>
      </c>
      <c r="R6" t="s">
        <v>49</v>
      </c>
      <c r="S6" t="s">
        <v>33</v>
      </c>
      <c r="T6" t="s">
        <v>27</v>
      </c>
      <c r="U6" t="s">
        <v>34</v>
      </c>
      <c r="V6" t="s">
        <v>35</v>
      </c>
      <c r="W6" t="s">
        <v>59</v>
      </c>
      <c r="X6" t="s">
        <v>58</v>
      </c>
    </row>
    <row r="7" spans="1:24" x14ac:dyDescent="0.25">
      <c r="A7" t="s">
        <v>24</v>
      </c>
      <c r="B7">
        <v>24</v>
      </c>
      <c r="C7" t="s">
        <v>38</v>
      </c>
      <c r="D7">
        <v>7</v>
      </c>
      <c r="E7">
        <v>5</v>
      </c>
      <c r="F7">
        <v>4</v>
      </c>
      <c r="G7">
        <v>6</v>
      </c>
      <c r="H7">
        <v>3</v>
      </c>
      <c r="I7">
        <v>1</v>
      </c>
      <c r="J7">
        <v>2</v>
      </c>
      <c r="K7" t="s">
        <v>38</v>
      </c>
      <c r="L7" t="s">
        <v>60</v>
      </c>
      <c r="M7" t="s">
        <v>27</v>
      </c>
      <c r="N7" t="s">
        <v>28</v>
      </c>
      <c r="O7" t="s">
        <v>29</v>
      </c>
      <c r="P7" t="s">
        <v>48</v>
      </c>
      <c r="Q7" t="s">
        <v>61</v>
      </c>
      <c r="R7" t="s">
        <v>32</v>
      </c>
      <c r="S7" t="s">
        <v>33</v>
      </c>
      <c r="T7" t="s">
        <v>62</v>
      </c>
      <c r="U7" t="s">
        <v>56</v>
      </c>
      <c r="V7" t="s">
        <v>35</v>
      </c>
      <c r="W7" t="s">
        <v>59</v>
      </c>
      <c r="X7" t="s">
        <v>58</v>
      </c>
    </row>
    <row r="8" spans="1:24" x14ac:dyDescent="0.25">
      <c r="A8" t="s">
        <v>24</v>
      </c>
      <c r="B8">
        <v>27</v>
      </c>
      <c r="C8" t="s">
        <v>25</v>
      </c>
      <c r="D8">
        <v>3</v>
      </c>
      <c r="E8">
        <v>6</v>
      </c>
      <c r="F8">
        <v>4</v>
      </c>
      <c r="G8">
        <v>2</v>
      </c>
      <c r="H8">
        <v>5</v>
      </c>
      <c r="I8">
        <v>1</v>
      </c>
      <c r="J8">
        <v>7</v>
      </c>
      <c r="K8" t="s">
        <v>25</v>
      </c>
      <c r="L8" t="s">
        <v>26</v>
      </c>
      <c r="M8" t="s">
        <v>27</v>
      </c>
      <c r="N8" t="s">
        <v>28</v>
      </c>
      <c r="O8" t="s">
        <v>47</v>
      </c>
      <c r="P8" t="s">
        <v>30</v>
      </c>
      <c r="Q8" t="s">
        <v>31</v>
      </c>
      <c r="R8" t="s">
        <v>49</v>
      </c>
      <c r="S8" t="s">
        <v>33</v>
      </c>
      <c r="T8" t="s">
        <v>27</v>
      </c>
      <c r="U8" t="s">
        <v>34</v>
      </c>
      <c r="V8" t="s">
        <v>51</v>
      </c>
      <c r="W8" t="s">
        <v>44</v>
      </c>
      <c r="X8" t="s">
        <v>45</v>
      </c>
    </row>
    <row r="9" spans="1:24" x14ac:dyDescent="0.25">
      <c r="A9" t="s">
        <v>46</v>
      </c>
      <c r="B9">
        <v>21</v>
      </c>
      <c r="C9" t="s">
        <v>25</v>
      </c>
      <c r="D9">
        <v>2</v>
      </c>
      <c r="E9">
        <v>3</v>
      </c>
      <c r="F9">
        <v>7</v>
      </c>
      <c r="G9">
        <v>4</v>
      </c>
      <c r="H9">
        <v>6</v>
      </c>
      <c r="I9">
        <v>1</v>
      </c>
      <c r="J9">
        <v>5</v>
      </c>
      <c r="K9" t="s">
        <v>25</v>
      </c>
      <c r="L9" t="s">
        <v>60</v>
      </c>
      <c r="M9" t="s">
        <v>27</v>
      </c>
      <c r="N9" t="s">
        <v>28</v>
      </c>
      <c r="O9" t="s">
        <v>47</v>
      </c>
      <c r="P9" t="s">
        <v>30</v>
      </c>
      <c r="Q9" t="s">
        <v>31</v>
      </c>
      <c r="R9" t="s">
        <v>32</v>
      </c>
      <c r="S9" t="s">
        <v>33</v>
      </c>
      <c r="T9" t="s">
        <v>27</v>
      </c>
      <c r="U9" t="s">
        <v>34</v>
      </c>
      <c r="V9" t="s">
        <v>51</v>
      </c>
      <c r="W9" t="s">
        <v>59</v>
      </c>
      <c r="X9" t="s">
        <v>37</v>
      </c>
    </row>
    <row r="10" spans="1:24" x14ac:dyDescent="0.25">
      <c r="A10" t="s">
        <v>46</v>
      </c>
      <c r="B10">
        <v>35</v>
      </c>
      <c r="C10" t="s">
        <v>25</v>
      </c>
      <c r="D10">
        <v>2</v>
      </c>
      <c r="E10">
        <v>4</v>
      </c>
      <c r="F10">
        <v>7</v>
      </c>
      <c r="G10">
        <v>5</v>
      </c>
      <c r="H10">
        <v>3</v>
      </c>
      <c r="I10">
        <v>1</v>
      </c>
      <c r="J10">
        <v>6</v>
      </c>
      <c r="K10" t="s">
        <v>25</v>
      </c>
      <c r="L10" t="s">
        <v>26</v>
      </c>
      <c r="M10" t="s">
        <v>63</v>
      </c>
      <c r="N10" t="s">
        <v>64</v>
      </c>
      <c r="O10" t="s">
        <v>29</v>
      </c>
      <c r="P10" t="s">
        <v>41</v>
      </c>
      <c r="Q10" t="s">
        <v>31</v>
      </c>
      <c r="R10" t="s">
        <v>49</v>
      </c>
      <c r="S10" t="s">
        <v>33</v>
      </c>
      <c r="T10" t="s">
        <v>27</v>
      </c>
      <c r="U10" t="s">
        <v>56</v>
      </c>
      <c r="V10" t="s">
        <v>35</v>
      </c>
      <c r="W10" t="s">
        <v>36</v>
      </c>
      <c r="X10" t="s">
        <v>52</v>
      </c>
    </row>
    <row r="11" spans="1:24" x14ac:dyDescent="0.25">
      <c r="A11" t="s">
        <v>46</v>
      </c>
      <c r="B11">
        <v>31</v>
      </c>
      <c r="C11" t="s">
        <v>25</v>
      </c>
      <c r="D11">
        <v>1</v>
      </c>
      <c r="E11">
        <v>3</v>
      </c>
      <c r="F11">
        <v>7</v>
      </c>
      <c r="G11">
        <v>4</v>
      </c>
      <c r="H11">
        <v>5</v>
      </c>
      <c r="I11">
        <v>2</v>
      </c>
      <c r="J11">
        <v>6</v>
      </c>
      <c r="K11" t="s">
        <v>25</v>
      </c>
      <c r="L11" t="s">
        <v>26</v>
      </c>
      <c r="M11" t="s">
        <v>27</v>
      </c>
      <c r="N11" t="s">
        <v>28</v>
      </c>
      <c r="O11" t="s">
        <v>47</v>
      </c>
      <c r="P11" t="s">
        <v>30</v>
      </c>
      <c r="Q11" t="s">
        <v>61</v>
      </c>
      <c r="R11" t="s">
        <v>65</v>
      </c>
      <c r="S11" t="s">
        <v>33</v>
      </c>
      <c r="T11" t="s">
        <v>27</v>
      </c>
      <c r="U11" t="s">
        <v>56</v>
      </c>
      <c r="V11" t="s">
        <v>51</v>
      </c>
      <c r="W11" t="s">
        <v>36</v>
      </c>
      <c r="X11" t="s">
        <v>37</v>
      </c>
    </row>
    <row r="12" spans="1:24" x14ac:dyDescent="0.25">
      <c r="A12" t="s">
        <v>24</v>
      </c>
      <c r="B12">
        <v>35</v>
      </c>
      <c r="C12" t="s">
        <v>25</v>
      </c>
      <c r="D12">
        <v>2</v>
      </c>
      <c r="E12">
        <v>4</v>
      </c>
      <c r="F12">
        <v>7</v>
      </c>
      <c r="G12">
        <v>5</v>
      </c>
      <c r="H12">
        <v>3</v>
      </c>
      <c r="I12">
        <v>1</v>
      </c>
      <c r="J12">
        <v>6</v>
      </c>
      <c r="K12" t="s">
        <v>25</v>
      </c>
      <c r="L12" t="s">
        <v>60</v>
      </c>
      <c r="M12" t="s">
        <v>63</v>
      </c>
      <c r="N12" t="s">
        <v>64</v>
      </c>
      <c r="O12" t="s">
        <v>47</v>
      </c>
      <c r="P12" t="s">
        <v>30</v>
      </c>
      <c r="Q12" t="s">
        <v>31</v>
      </c>
      <c r="R12" t="s">
        <v>32</v>
      </c>
      <c r="S12" t="s">
        <v>33</v>
      </c>
      <c r="T12" t="s">
        <v>27</v>
      </c>
      <c r="U12" t="s">
        <v>34</v>
      </c>
      <c r="V12" t="s">
        <v>51</v>
      </c>
      <c r="W12" t="s">
        <v>59</v>
      </c>
      <c r="X12" t="s">
        <v>45</v>
      </c>
    </row>
    <row r="13" spans="1:24" x14ac:dyDescent="0.25">
      <c r="A13" t="s">
        <v>46</v>
      </c>
      <c r="B13">
        <v>29</v>
      </c>
      <c r="C13" t="s">
        <v>25</v>
      </c>
      <c r="D13">
        <v>2</v>
      </c>
      <c r="E13">
        <v>5</v>
      </c>
      <c r="F13">
        <v>7</v>
      </c>
      <c r="G13">
        <v>6</v>
      </c>
      <c r="H13">
        <v>3</v>
      </c>
      <c r="I13">
        <v>1</v>
      </c>
      <c r="J13">
        <v>4</v>
      </c>
      <c r="K13" t="s">
        <v>25</v>
      </c>
      <c r="L13" t="s">
        <v>60</v>
      </c>
      <c r="M13" t="s">
        <v>27</v>
      </c>
      <c r="N13" t="s">
        <v>28</v>
      </c>
      <c r="O13" t="s">
        <v>29</v>
      </c>
      <c r="P13" t="s">
        <v>30</v>
      </c>
      <c r="Q13" t="s">
        <v>31</v>
      </c>
      <c r="R13" t="s">
        <v>32</v>
      </c>
      <c r="S13" t="s">
        <v>33</v>
      </c>
      <c r="T13" t="s">
        <v>27</v>
      </c>
      <c r="U13" t="s">
        <v>56</v>
      </c>
      <c r="V13" t="s">
        <v>51</v>
      </c>
      <c r="W13" t="s">
        <v>36</v>
      </c>
      <c r="X13" t="s">
        <v>45</v>
      </c>
    </row>
    <row r="14" spans="1:24" x14ac:dyDescent="0.25">
      <c r="A14" t="s">
        <v>24</v>
      </c>
      <c r="B14">
        <v>21</v>
      </c>
      <c r="C14" t="s">
        <v>38</v>
      </c>
      <c r="D14">
        <v>1</v>
      </c>
      <c r="E14">
        <v>2</v>
      </c>
      <c r="F14">
        <v>3</v>
      </c>
      <c r="G14">
        <v>4</v>
      </c>
      <c r="H14">
        <v>5</v>
      </c>
      <c r="I14">
        <v>6</v>
      </c>
      <c r="J14">
        <v>7</v>
      </c>
      <c r="K14" t="s">
        <v>38</v>
      </c>
      <c r="L14" t="s">
        <v>26</v>
      </c>
      <c r="M14" t="s">
        <v>27</v>
      </c>
      <c r="N14" t="s">
        <v>64</v>
      </c>
      <c r="O14" t="s">
        <v>29</v>
      </c>
      <c r="P14" t="s">
        <v>41</v>
      </c>
      <c r="Q14" t="s">
        <v>31</v>
      </c>
      <c r="R14" t="s">
        <v>32</v>
      </c>
      <c r="S14" t="s">
        <v>66</v>
      </c>
      <c r="T14" t="s">
        <v>43</v>
      </c>
      <c r="U14" t="s">
        <v>34</v>
      </c>
      <c r="V14" t="s">
        <v>35</v>
      </c>
      <c r="W14" t="s">
        <v>59</v>
      </c>
      <c r="X14" t="s">
        <v>58</v>
      </c>
    </row>
    <row r="15" spans="1:24" x14ac:dyDescent="0.25">
      <c r="A15" t="s">
        <v>24</v>
      </c>
      <c r="B15">
        <v>28</v>
      </c>
      <c r="C15" t="s">
        <v>25</v>
      </c>
      <c r="D15">
        <v>2</v>
      </c>
      <c r="E15">
        <v>3</v>
      </c>
      <c r="F15">
        <v>7</v>
      </c>
      <c r="G15">
        <v>4</v>
      </c>
      <c r="H15">
        <v>5</v>
      </c>
      <c r="I15">
        <v>1</v>
      </c>
      <c r="J15">
        <v>6</v>
      </c>
      <c r="K15" t="s">
        <v>25</v>
      </c>
      <c r="L15" t="s">
        <v>26</v>
      </c>
      <c r="M15" t="s">
        <v>27</v>
      </c>
      <c r="N15" t="s">
        <v>28</v>
      </c>
      <c r="O15" t="s">
        <v>29</v>
      </c>
      <c r="P15" t="s">
        <v>30</v>
      </c>
      <c r="Q15" t="s">
        <v>31</v>
      </c>
      <c r="R15" t="s">
        <v>32</v>
      </c>
      <c r="S15" t="s">
        <v>33</v>
      </c>
      <c r="T15" t="s">
        <v>27</v>
      </c>
      <c r="U15" t="s">
        <v>56</v>
      </c>
      <c r="V15" t="s">
        <v>51</v>
      </c>
      <c r="W15" t="s">
        <v>59</v>
      </c>
      <c r="X15" t="s">
        <v>37</v>
      </c>
    </row>
    <row r="16" spans="1:24" x14ac:dyDescent="0.25">
      <c r="A16" t="s">
        <v>24</v>
      </c>
      <c r="B16">
        <v>25</v>
      </c>
      <c r="C16" t="s">
        <v>25</v>
      </c>
      <c r="D16">
        <v>2</v>
      </c>
      <c r="E16">
        <v>3</v>
      </c>
      <c r="F16">
        <v>7</v>
      </c>
      <c r="G16">
        <v>5</v>
      </c>
      <c r="H16">
        <v>4</v>
      </c>
      <c r="I16">
        <v>1</v>
      </c>
      <c r="J16">
        <v>6</v>
      </c>
      <c r="K16" t="s">
        <v>25</v>
      </c>
      <c r="L16" t="s">
        <v>26</v>
      </c>
      <c r="M16" t="s">
        <v>27</v>
      </c>
      <c r="N16" t="s">
        <v>28</v>
      </c>
      <c r="O16" t="s">
        <v>29</v>
      </c>
      <c r="P16" t="s">
        <v>30</v>
      </c>
      <c r="Q16" t="s">
        <v>31</v>
      </c>
      <c r="R16" t="s">
        <v>65</v>
      </c>
      <c r="S16" t="s">
        <v>42</v>
      </c>
      <c r="T16" t="s">
        <v>43</v>
      </c>
      <c r="U16" t="s">
        <v>34</v>
      </c>
      <c r="V16" t="s">
        <v>51</v>
      </c>
      <c r="W16" t="s">
        <v>59</v>
      </c>
      <c r="X16" t="s">
        <v>45</v>
      </c>
    </row>
    <row r="17" spans="1:24" x14ac:dyDescent="0.25">
      <c r="A17" t="s">
        <v>46</v>
      </c>
      <c r="B17">
        <v>27</v>
      </c>
      <c r="C17" t="s">
        <v>25</v>
      </c>
      <c r="D17">
        <v>2</v>
      </c>
      <c r="E17">
        <v>3</v>
      </c>
      <c r="F17">
        <v>7</v>
      </c>
      <c r="G17">
        <v>5</v>
      </c>
      <c r="H17">
        <v>4</v>
      </c>
      <c r="I17">
        <v>1</v>
      </c>
      <c r="J17">
        <v>6</v>
      </c>
      <c r="K17" t="s">
        <v>25</v>
      </c>
      <c r="L17" t="s">
        <v>26</v>
      </c>
      <c r="M17" t="s">
        <v>27</v>
      </c>
      <c r="N17" t="s">
        <v>28</v>
      </c>
      <c r="O17" t="s">
        <v>29</v>
      </c>
      <c r="P17" t="s">
        <v>30</v>
      </c>
      <c r="Q17" t="s">
        <v>31</v>
      </c>
      <c r="R17" t="s">
        <v>32</v>
      </c>
      <c r="S17" t="s">
        <v>42</v>
      </c>
      <c r="T17" t="s">
        <v>27</v>
      </c>
      <c r="U17" t="s">
        <v>56</v>
      </c>
      <c r="V17" t="s">
        <v>51</v>
      </c>
      <c r="W17" t="s">
        <v>59</v>
      </c>
      <c r="X17" t="s">
        <v>37</v>
      </c>
    </row>
    <row r="18" spans="1:24" x14ac:dyDescent="0.25">
      <c r="A18" t="s">
        <v>24</v>
      </c>
      <c r="B18">
        <v>28</v>
      </c>
      <c r="C18" t="s">
        <v>25</v>
      </c>
      <c r="D18">
        <v>3</v>
      </c>
      <c r="E18">
        <v>2</v>
      </c>
      <c r="F18">
        <v>7</v>
      </c>
      <c r="G18">
        <v>5</v>
      </c>
      <c r="H18">
        <v>4</v>
      </c>
      <c r="I18">
        <v>1</v>
      </c>
      <c r="J18">
        <v>6</v>
      </c>
      <c r="K18" t="s">
        <v>25</v>
      </c>
      <c r="L18" t="s">
        <v>60</v>
      </c>
      <c r="M18" t="s">
        <v>63</v>
      </c>
      <c r="N18" t="s">
        <v>28</v>
      </c>
      <c r="O18" t="s">
        <v>29</v>
      </c>
      <c r="P18" t="s">
        <v>30</v>
      </c>
      <c r="Q18" t="s">
        <v>31</v>
      </c>
      <c r="R18" t="s">
        <v>65</v>
      </c>
      <c r="S18" t="s">
        <v>42</v>
      </c>
      <c r="T18" t="s">
        <v>27</v>
      </c>
      <c r="U18" t="s">
        <v>56</v>
      </c>
      <c r="V18" t="s">
        <v>51</v>
      </c>
      <c r="W18" t="s">
        <v>59</v>
      </c>
      <c r="X18" t="s">
        <v>52</v>
      </c>
    </row>
    <row r="19" spans="1:24" x14ac:dyDescent="0.25">
      <c r="A19" t="s">
        <v>46</v>
      </c>
      <c r="B19">
        <v>27</v>
      </c>
      <c r="C19" t="s">
        <v>25</v>
      </c>
      <c r="D19">
        <v>3</v>
      </c>
      <c r="E19">
        <v>2</v>
      </c>
      <c r="F19">
        <v>7</v>
      </c>
      <c r="G19">
        <v>4</v>
      </c>
      <c r="H19">
        <v>5</v>
      </c>
      <c r="I19">
        <v>1</v>
      </c>
      <c r="J19">
        <v>6</v>
      </c>
      <c r="K19" t="s">
        <v>25</v>
      </c>
      <c r="L19" t="s">
        <v>26</v>
      </c>
      <c r="M19" t="s">
        <v>27</v>
      </c>
      <c r="N19" t="s">
        <v>28</v>
      </c>
      <c r="O19" t="s">
        <v>29</v>
      </c>
      <c r="P19" t="s">
        <v>30</v>
      </c>
      <c r="Q19" t="s">
        <v>31</v>
      </c>
      <c r="R19" t="s">
        <v>32</v>
      </c>
      <c r="S19" t="s">
        <v>33</v>
      </c>
      <c r="T19" t="s">
        <v>27</v>
      </c>
      <c r="U19" t="s">
        <v>34</v>
      </c>
      <c r="V19" t="s">
        <v>51</v>
      </c>
      <c r="W19" t="s">
        <v>59</v>
      </c>
      <c r="X19" t="s">
        <v>45</v>
      </c>
    </row>
    <row r="20" spans="1:24" x14ac:dyDescent="0.25">
      <c r="A20" t="s">
        <v>46</v>
      </c>
      <c r="B20">
        <v>29</v>
      </c>
      <c r="C20" t="s">
        <v>25</v>
      </c>
      <c r="D20">
        <v>3</v>
      </c>
      <c r="E20">
        <v>2</v>
      </c>
      <c r="F20">
        <v>7</v>
      </c>
      <c r="G20">
        <v>4</v>
      </c>
      <c r="H20">
        <v>5</v>
      </c>
      <c r="I20">
        <v>1</v>
      </c>
      <c r="J20">
        <v>6</v>
      </c>
      <c r="K20" t="s">
        <v>25</v>
      </c>
      <c r="L20" t="s">
        <v>60</v>
      </c>
      <c r="M20" t="s">
        <v>27</v>
      </c>
      <c r="N20" t="s">
        <v>28</v>
      </c>
      <c r="O20" t="s">
        <v>29</v>
      </c>
      <c r="P20" t="s">
        <v>30</v>
      </c>
      <c r="Q20" t="s">
        <v>31</v>
      </c>
      <c r="R20" t="s">
        <v>32</v>
      </c>
      <c r="S20" t="s">
        <v>33</v>
      </c>
      <c r="T20" t="s">
        <v>27</v>
      </c>
      <c r="U20" t="s">
        <v>34</v>
      </c>
      <c r="V20" t="s">
        <v>51</v>
      </c>
      <c r="W20" t="s">
        <v>59</v>
      </c>
      <c r="X20" t="s">
        <v>37</v>
      </c>
    </row>
    <row r="21" spans="1:24" x14ac:dyDescent="0.25">
      <c r="A21" t="s">
        <v>46</v>
      </c>
      <c r="B21">
        <v>26</v>
      </c>
      <c r="C21" t="s">
        <v>25</v>
      </c>
      <c r="D21">
        <v>3</v>
      </c>
      <c r="E21">
        <v>4</v>
      </c>
      <c r="F21">
        <v>6</v>
      </c>
      <c r="G21">
        <v>5</v>
      </c>
      <c r="H21">
        <v>1</v>
      </c>
      <c r="I21">
        <v>2</v>
      </c>
      <c r="J21">
        <v>7</v>
      </c>
      <c r="K21" t="s">
        <v>25</v>
      </c>
      <c r="L21" t="s">
        <v>60</v>
      </c>
      <c r="M21" t="s">
        <v>27</v>
      </c>
      <c r="N21" t="s">
        <v>28</v>
      </c>
      <c r="O21" t="s">
        <v>47</v>
      </c>
      <c r="P21" t="s">
        <v>30</v>
      </c>
      <c r="Q21" t="s">
        <v>31</v>
      </c>
      <c r="R21" t="s">
        <v>65</v>
      </c>
      <c r="S21" t="s">
        <v>42</v>
      </c>
      <c r="T21" t="s">
        <v>27</v>
      </c>
      <c r="U21" t="s">
        <v>56</v>
      </c>
      <c r="V21" t="s">
        <v>51</v>
      </c>
      <c r="W21" t="s">
        <v>59</v>
      </c>
      <c r="X21" t="s">
        <v>37</v>
      </c>
    </row>
    <row r="22" spans="1:24" x14ac:dyDescent="0.25">
      <c r="A22" t="s">
        <v>46</v>
      </c>
      <c r="B22">
        <v>29</v>
      </c>
      <c r="C22" t="s">
        <v>25</v>
      </c>
      <c r="D22">
        <v>2</v>
      </c>
      <c r="E22">
        <v>4</v>
      </c>
      <c r="F22">
        <v>7</v>
      </c>
      <c r="G22">
        <v>5</v>
      </c>
      <c r="H22">
        <v>3</v>
      </c>
      <c r="I22">
        <v>1</v>
      </c>
      <c r="J22">
        <v>6</v>
      </c>
      <c r="K22" t="s">
        <v>25</v>
      </c>
      <c r="L22" t="s">
        <v>26</v>
      </c>
      <c r="M22" t="s">
        <v>63</v>
      </c>
      <c r="N22" t="s">
        <v>28</v>
      </c>
      <c r="O22" t="s">
        <v>47</v>
      </c>
      <c r="P22" t="s">
        <v>41</v>
      </c>
      <c r="Q22" t="s">
        <v>31</v>
      </c>
      <c r="R22" t="s">
        <v>32</v>
      </c>
      <c r="S22" t="s">
        <v>33</v>
      </c>
      <c r="T22" t="s">
        <v>27</v>
      </c>
      <c r="U22" t="s">
        <v>34</v>
      </c>
      <c r="V22" t="s">
        <v>51</v>
      </c>
      <c r="W22" t="s">
        <v>36</v>
      </c>
      <c r="X22" t="s">
        <v>45</v>
      </c>
    </row>
    <row r="23" spans="1:24" x14ac:dyDescent="0.25">
      <c r="A23" t="s">
        <v>24</v>
      </c>
      <c r="B23">
        <v>24</v>
      </c>
      <c r="C23" t="s">
        <v>25</v>
      </c>
      <c r="D23">
        <v>2</v>
      </c>
      <c r="E23">
        <v>4</v>
      </c>
      <c r="F23">
        <v>5</v>
      </c>
      <c r="G23">
        <v>6</v>
      </c>
      <c r="H23">
        <v>3</v>
      </c>
      <c r="I23">
        <v>1</v>
      </c>
      <c r="J23">
        <v>7</v>
      </c>
      <c r="K23" t="s">
        <v>25</v>
      </c>
      <c r="L23" t="s">
        <v>60</v>
      </c>
      <c r="M23" t="s">
        <v>27</v>
      </c>
      <c r="N23" t="s">
        <v>28</v>
      </c>
      <c r="O23" t="s">
        <v>47</v>
      </c>
      <c r="P23" t="s">
        <v>30</v>
      </c>
      <c r="Q23" t="s">
        <v>31</v>
      </c>
      <c r="R23" t="s">
        <v>49</v>
      </c>
      <c r="S23" t="s">
        <v>42</v>
      </c>
      <c r="T23" t="s">
        <v>27</v>
      </c>
      <c r="U23" t="s">
        <v>34</v>
      </c>
      <c r="V23" t="s">
        <v>51</v>
      </c>
      <c r="W23" t="s">
        <v>59</v>
      </c>
      <c r="X23" t="s">
        <v>37</v>
      </c>
    </row>
    <row r="24" spans="1:24" x14ac:dyDescent="0.25">
      <c r="A24" t="s">
        <v>46</v>
      </c>
      <c r="B24">
        <v>27</v>
      </c>
      <c r="C24" t="s">
        <v>25</v>
      </c>
      <c r="D24">
        <v>3</v>
      </c>
      <c r="E24">
        <v>4</v>
      </c>
      <c r="F24">
        <v>6</v>
      </c>
      <c r="G24">
        <v>5</v>
      </c>
      <c r="H24">
        <v>2</v>
      </c>
      <c r="I24">
        <v>1</v>
      </c>
      <c r="J24">
        <v>7</v>
      </c>
      <c r="K24" t="s">
        <v>25</v>
      </c>
      <c r="L24" t="s">
        <v>26</v>
      </c>
      <c r="M24" t="s">
        <v>27</v>
      </c>
      <c r="N24" t="s">
        <v>28</v>
      </c>
      <c r="O24" t="s">
        <v>47</v>
      </c>
      <c r="P24" t="s">
        <v>30</v>
      </c>
      <c r="Q24" t="s">
        <v>31</v>
      </c>
      <c r="R24" t="s">
        <v>32</v>
      </c>
      <c r="S24" t="s">
        <v>33</v>
      </c>
      <c r="T24" t="s">
        <v>27</v>
      </c>
      <c r="U24" t="s">
        <v>34</v>
      </c>
      <c r="V24" t="s">
        <v>51</v>
      </c>
      <c r="W24" t="s">
        <v>59</v>
      </c>
      <c r="X24" t="s">
        <v>45</v>
      </c>
    </row>
    <row r="25" spans="1:24" x14ac:dyDescent="0.25">
      <c r="A25" t="s">
        <v>46</v>
      </c>
      <c r="B25">
        <v>25</v>
      </c>
      <c r="C25" t="s">
        <v>25</v>
      </c>
      <c r="D25">
        <v>2</v>
      </c>
      <c r="E25">
        <v>4</v>
      </c>
      <c r="F25">
        <v>6</v>
      </c>
      <c r="G25">
        <v>5</v>
      </c>
      <c r="H25">
        <v>3</v>
      </c>
      <c r="I25">
        <v>1</v>
      </c>
      <c r="J25">
        <v>7</v>
      </c>
      <c r="K25" t="s">
        <v>25</v>
      </c>
      <c r="L25" t="s">
        <v>60</v>
      </c>
      <c r="M25" t="s">
        <v>63</v>
      </c>
      <c r="N25" t="s">
        <v>64</v>
      </c>
      <c r="O25" t="s">
        <v>47</v>
      </c>
      <c r="P25" t="s">
        <v>41</v>
      </c>
      <c r="Q25" t="s">
        <v>31</v>
      </c>
      <c r="R25" t="s">
        <v>67</v>
      </c>
      <c r="S25" t="s">
        <v>42</v>
      </c>
      <c r="T25" t="s">
        <v>62</v>
      </c>
      <c r="U25" t="s">
        <v>34</v>
      </c>
      <c r="V25" t="s">
        <v>51</v>
      </c>
      <c r="W25" t="s">
        <v>59</v>
      </c>
      <c r="X25" t="s">
        <v>45</v>
      </c>
    </row>
    <row r="26" spans="1:24" x14ac:dyDescent="0.25">
      <c r="A26" t="s">
        <v>24</v>
      </c>
      <c r="B26">
        <v>26</v>
      </c>
      <c r="C26" t="s">
        <v>25</v>
      </c>
      <c r="D26">
        <v>2</v>
      </c>
      <c r="E26">
        <v>3</v>
      </c>
      <c r="F26">
        <v>7</v>
      </c>
      <c r="G26">
        <v>5</v>
      </c>
      <c r="H26">
        <v>4</v>
      </c>
      <c r="I26">
        <v>1</v>
      </c>
      <c r="J26">
        <v>6</v>
      </c>
      <c r="K26" t="s">
        <v>25</v>
      </c>
      <c r="L26" t="s">
        <v>26</v>
      </c>
      <c r="M26" t="s">
        <v>27</v>
      </c>
      <c r="N26" t="s">
        <v>28</v>
      </c>
      <c r="O26" t="s">
        <v>47</v>
      </c>
      <c r="P26" t="s">
        <v>30</v>
      </c>
      <c r="Q26" t="s">
        <v>61</v>
      </c>
      <c r="R26" t="s">
        <v>67</v>
      </c>
      <c r="S26" t="s">
        <v>33</v>
      </c>
      <c r="T26" t="s">
        <v>27</v>
      </c>
      <c r="U26" t="s">
        <v>34</v>
      </c>
      <c r="V26" t="s">
        <v>51</v>
      </c>
      <c r="W26" t="s">
        <v>59</v>
      </c>
      <c r="X26" t="s">
        <v>37</v>
      </c>
    </row>
    <row r="27" spans="1:24" x14ac:dyDescent="0.25">
      <c r="A27" t="s">
        <v>24</v>
      </c>
      <c r="B27">
        <v>32</v>
      </c>
      <c r="C27" t="s">
        <v>25</v>
      </c>
      <c r="D27">
        <v>3</v>
      </c>
      <c r="E27">
        <v>4</v>
      </c>
      <c r="F27">
        <v>7</v>
      </c>
      <c r="G27">
        <v>5</v>
      </c>
      <c r="H27">
        <v>1</v>
      </c>
      <c r="I27">
        <v>2</v>
      </c>
      <c r="J27">
        <v>6</v>
      </c>
      <c r="K27" t="s">
        <v>25</v>
      </c>
      <c r="L27" t="s">
        <v>60</v>
      </c>
      <c r="M27" t="s">
        <v>63</v>
      </c>
      <c r="N27" t="s">
        <v>28</v>
      </c>
      <c r="O27" t="s">
        <v>47</v>
      </c>
      <c r="P27" t="s">
        <v>30</v>
      </c>
      <c r="Q27" t="s">
        <v>31</v>
      </c>
      <c r="R27" t="s">
        <v>32</v>
      </c>
      <c r="S27" t="s">
        <v>33</v>
      </c>
      <c r="T27" t="s">
        <v>27</v>
      </c>
      <c r="U27" t="s">
        <v>34</v>
      </c>
      <c r="V27" t="s">
        <v>51</v>
      </c>
      <c r="W27" t="s">
        <v>36</v>
      </c>
      <c r="X27" t="s">
        <v>45</v>
      </c>
    </row>
    <row r="28" spans="1:24" x14ac:dyDescent="0.25">
      <c r="A28" t="s">
        <v>46</v>
      </c>
      <c r="B28">
        <v>26</v>
      </c>
      <c r="C28" t="s">
        <v>25</v>
      </c>
      <c r="D28">
        <v>3</v>
      </c>
      <c r="E28">
        <v>4</v>
      </c>
      <c r="F28">
        <v>6</v>
      </c>
      <c r="G28">
        <v>5</v>
      </c>
      <c r="H28">
        <v>1</v>
      </c>
      <c r="I28">
        <v>2</v>
      </c>
      <c r="J28">
        <v>7</v>
      </c>
      <c r="K28" t="s">
        <v>25</v>
      </c>
      <c r="L28" t="s">
        <v>26</v>
      </c>
      <c r="M28" t="s">
        <v>27</v>
      </c>
      <c r="N28" t="s">
        <v>28</v>
      </c>
      <c r="O28" t="s">
        <v>47</v>
      </c>
      <c r="P28" t="s">
        <v>30</v>
      </c>
      <c r="Q28" t="s">
        <v>31</v>
      </c>
      <c r="R28" t="s">
        <v>32</v>
      </c>
      <c r="S28" t="s">
        <v>33</v>
      </c>
      <c r="T28" t="s">
        <v>43</v>
      </c>
      <c r="U28" t="s">
        <v>56</v>
      </c>
      <c r="V28" t="s">
        <v>51</v>
      </c>
      <c r="W28" t="s">
        <v>36</v>
      </c>
      <c r="X28" t="s">
        <v>45</v>
      </c>
    </row>
    <row r="29" spans="1:24" x14ac:dyDescent="0.25">
      <c r="A29" t="s">
        <v>46</v>
      </c>
      <c r="B29">
        <v>31</v>
      </c>
      <c r="C29" t="s">
        <v>25</v>
      </c>
      <c r="D29">
        <v>2</v>
      </c>
      <c r="E29">
        <v>3</v>
      </c>
      <c r="F29">
        <v>7</v>
      </c>
      <c r="G29">
        <v>6</v>
      </c>
      <c r="H29">
        <v>4</v>
      </c>
      <c r="I29">
        <v>1</v>
      </c>
      <c r="J29">
        <v>5</v>
      </c>
      <c r="K29" t="s">
        <v>25</v>
      </c>
      <c r="L29" t="s">
        <v>60</v>
      </c>
      <c r="M29" t="s">
        <v>63</v>
      </c>
      <c r="N29" t="s">
        <v>64</v>
      </c>
      <c r="O29" t="s">
        <v>29</v>
      </c>
      <c r="P29" t="s">
        <v>30</v>
      </c>
      <c r="Q29" t="s">
        <v>31</v>
      </c>
      <c r="R29" t="s">
        <v>65</v>
      </c>
      <c r="S29" t="s">
        <v>42</v>
      </c>
      <c r="T29" t="s">
        <v>27</v>
      </c>
      <c r="U29" t="s">
        <v>56</v>
      </c>
      <c r="V29" t="s">
        <v>35</v>
      </c>
      <c r="W29" t="s">
        <v>36</v>
      </c>
      <c r="X29" t="s">
        <v>52</v>
      </c>
    </row>
    <row r="30" spans="1:24" x14ac:dyDescent="0.25">
      <c r="A30" t="s">
        <v>46</v>
      </c>
      <c r="B30">
        <v>29</v>
      </c>
      <c r="C30" t="s">
        <v>25</v>
      </c>
      <c r="D30">
        <v>2</v>
      </c>
      <c r="E30">
        <v>3</v>
      </c>
      <c r="F30">
        <v>6</v>
      </c>
      <c r="G30">
        <v>5</v>
      </c>
      <c r="H30">
        <v>1</v>
      </c>
      <c r="I30">
        <v>4</v>
      </c>
      <c r="J30">
        <v>7</v>
      </c>
      <c r="K30" t="s">
        <v>25</v>
      </c>
      <c r="L30" t="s">
        <v>26</v>
      </c>
      <c r="M30" t="s">
        <v>27</v>
      </c>
      <c r="N30" t="s">
        <v>28</v>
      </c>
      <c r="O30" t="s">
        <v>29</v>
      </c>
      <c r="P30" t="s">
        <v>30</v>
      </c>
      <c r="Q30" t="s">
        <v>31</v>
      </c>
      <c r="R30" t="s">
        <v>49</v>
      </c>
      <c r="S30" t="s">
        <v>33</v>
      </c>
      <c r="T30" t="s">
        <v>27</v>
      </c>
      <c r="U30" t="s">
        <v>34</v>
      </c>
      <c r="V30" t="s">
        <v>51</v>
      </c>
      <c r="W30" t="s">
        <v>59</v>
      </c>
      <c r="X30" t="s">
        <v>52</v>
      </c>
    </row>
    <row r="31" spans="1:24" x14ac:dyDescent="0.25">
      <c r="A31" t="s">
        <v>24</v>
      </c>
      <c r="B31">
        <v>34</v>
      </c>
      <c r="C31" t="s">
        <v>25</v>
      </c>
      <c r="D31">
        <v>5</v>
      </c>
      <c r="E31">
        <v>4</v>
      </c>
      <c r="F31">
        <v>3</v>
      </c>
      <c r="G31">
        <v>2</v>
      </c>
      <c r="H31">
        <v>7</v>
      </c>
      <c r="I31">
        <v>1</v>
      </c>
      <c r="J31">
        <v>6</v>
      </c>
      <c r="K31" t="s">
        <v>25</v>
      </c>
      <c r="L31" t="s">
        <v>26</v>
      </c>
      <c r="M31" t="s">
        <v>53</v>
      </c>
      <c r="N31" t="s">
        <v>26</v>
      </c>
      <c r="O31" t="s">
        <v>47</v>
      </c>
      <c r="P31" t="s">
        <v>30</v>
      </c>
      <c r="Q31" t="s">
        <v>55</v>
      </c>
      <c r="R31" t="s">
        <v>32</v>
      </c>
      <c r="S31" t="s">
        <v>33</v>
      </c>
      <c r="T31" t="s">
        <v>27</v>
      </c>
      <c r="U31" t="s">
        <v>50</v>
      </c>
      <c r="V31" t="s">
        <v>35</v>
      </c>
      <c r="W31" t="s">
        <v>36</v>
      </c>
      <c r="X31" t="s">
        <v>37</v>
      </c>
    </row>
    <row r="32" spans="1:24" x14ac:dyDescent="0.25">
      <c r="A32" t="s">
        <v>46</v>
      </c>
      <c r="B32">
        <v>27</v>
      </c>
      <c r="C32" t="s">
        <v>25</v>
      </c>
      <c r="D32">
        <v>4</v>
      </c>
      <c r="E32">
        <v>5</v>
      </c>
      <c r="F32">
        <v>1</v>
      </c>
      <c r="G32">
        <v>2</v>
      </c>
      <c r="H32">
        <v>7</v>
      </c>
      <c r="I32">
        <v>3</v>
      </c>
      <c r="J32">
        <v>6</v>
      </c>
      <c r="K32" t="s">
        <v>38</v>
      </c>
      <c r="L32" t="s">
        <v>26</v>
      </c>
      <c r="M32" t="s">
        <v>63</v>
      </c>
      <c r="N32" t="s">
        <v>28</v>
      </c>
      <c r="O32" t="s">
        <v>29</v>
      </c>
      <c r="P32" t="s">
        <v>30</v>
      </c>
      <c r="Q32" t="s">
        <v>55</v>
      </c>
      <c r="R32" t="s">
        <v>32</v>
      </c>
      <c r="S32" t="s">
        <v>66</v>
      </c>
      <c r="T32" t="s">
        <v>27</v>
      </c>
      <c r="U32" t="s">
        <v>50</v>
      </c>
      <c r="V32" t="s">
        <v>35</v>
      </c>
      <c r="W32" t="s">
        <v>36</v>
      </c>
      <c r="X32" t="s">
        <v>52</v>
      </c>
    </row>
    <row r="33" spans="1:24" x14ac:dyDescent="0.25">
      <c r="A33" t="s">
        <v>24</v>
      </c>
      <c r="B33">
        <v>31</v>
      </c>
      <c r="C33" t="s">
        <v>25</v>
      </c>
      <c r="D33">
        <v>2</v>
      </c>
      <c r="E33">
        <v>4</v>
      </c>
      <c r="F33">
        <v>7</v>
      </c>
      <c r="G33">
        <v>6</v>
      </c>
      <c r="H33">
        <v>3</v>
      </c>
      <c r="I33">
        <v>1</v>
      </c>
      <c r="J33">
        <v>5</v>
      </c>
      <c r="K33" t="s">
        <v>25</v>
      </c>
      <c r="L33" t="s">
        <v>26</v>
      </c>
      <c r="M33" t="s">
        <v>27</v>
      </c>
      <c r="N33" t="s">
        <v>28</v>
      </c>
      <c r="O33" t="s">
        <v>47</v>
      </c>
      <c r="P33" t="s">
        <v>30</v>
      </c>
      <c r="Q33" t="s">
        <v>31</v>
      </c>
      <c r="R33" t="s">
        <v>65</v>
      </c>
      <c r="S33" t="s">
        <v>33</v>
      </c>
      <c r="T33" t="s">
        <v>27</v>
      </c>
      <c r="U33" t="s">
        <v>34</v>
      </c>
      <c r="V33" t="s">
        <v>51</v>
      </c>
      <c r="W33" t="s">
        <v>36</v>
      </c>
      <c r="X33" t="s">
        <v>45</v>
      </c>
    </row>
    <row r="34" spans="1:24" x14ac:dyDescent="0.25">
      <c r="A34" t="s">
        <v>46</v>
      </c>
      <c r="B34">
        <v>27</v>
      </c>
      <c r="C34" t="s">
        <v>25</v>
      </c>
      <c r="D34">
        <v>2</v>
      </c>
      <c r="E34">
        <v>4</v>
      </c>
      <c r="F34">
        <v>7</v>
      </c>
      <c r="G34">
        <v>5</v>
      </c>
      <c r="H34">
        <v>1</v>
      </c>
      <c r="I34">
        <v>3</v>
      </c>
      <c r="J34">
        <v>6</v>
      </c>
      <c r="K34" t="s">
        <v>25</v>
      </c>
      <c r="L34" t="s">
        <v>26</v>
      </c>
      <c r="M34" t="s">
        <v>27</v>
      </c>
      <c r="N34" t="s">
        <v>28</v>
      </c>
      <c r="O34" t="s">
        <v>47</v>
      </c>
      <c r="P34" t="s">
        <v>30</v>
      </c>
      <c r="Q34" t="s">
        <v>61</v>
      </c>
      <c r="R34" t="s">
        <v>49</v>
      </c>
      <c r="S34" t="s">
        <v>42</v>
      </c>
      <c r="T34" t="s">
        <v>27</v>
      </c>
      <c r="U34" t="s">
        <v>56</v>
      </c>
      <c r="V34" t="s">
        <v>51</v>
      </c>
      <c r="W34" t="s">
        <v>36</v>
      </c>
      <c r="X34" t="s">
        <v>37</v>
      </c>
    </row>
    <row r="35" spans="1:24" x14ac:dyDescent="0.25">
      <c r="A35" t="s">
        <v>46</v>
      </c>
      <c r="B35">
        <v>26</v>
      </c>
      <c r="C35" t="s">
        <v>25</v>
      </c>
      <c r="D35">
        <v>2</v>
      </c>
      <c r="E35">
        <v>3</v>
      </c>
      <c r="F35">
        <v>6</v>
      </c>
      <c r="G35">
        <v>4</v>
      </c>
      <c r="H35">
        <v>1</v>
      </c>
      <c r="I35">
        <v>5</v>
      </c>
      <c r="J35">
        <v>7</v>
      </c>
      <c r="K35" t="s">
        <v>25</v>
      </c>
      <c r="L35" t="s">
        <v>26</v>
      </c>
      <c r="M35" t="s">
        <v>27</v>
      </c>
      <c r="N35" t="s">
        <v>26</v>
      </c>
      <c r="O35" t="s">
        <v>29</v>
      </c>
      <c r="P35" t="s">
        <v>30</v>
      </c>
      <c r="Q35" t="s">
        <v>31</v>
      </c>
      <c r="R35" t="s">
        <v>65</v>
      </c>
      <c r="S35" t="s">
        <v>66</v>
      </c>
      <c r="T35" t="s">
        <v>43</v>
      </c>
      <c r="U35" t="s">
        <v>34</v>
      </c>
      <c r="V35" t="s">
        <v>35</v>
      </c>
      <c r="W35" t="s">
        <v>59</v>
      </c>
      <c r="X35" t="s">
        <v>37</v>
      </c>
    </row>
    <row r="36" spans="1:24" x14ac:dyDescent="0.25">
      <c r="A36" t="s">
        <v>46</v>
      </c>
      <c r="B36">
        <v>27</v>
      </c>
      <c r="C36" t="s">
        <v>25</v>
      </c>
      <c r="D36">
        <v>2</v>
      </c>
      <c r="E36">
        <v>3</v>
      </c>
      <c r="F36">
        <v>6</v>
      </c>
      <c r="G36">
        <v>5</v>
      </c>
      <c r="H36">
        <v>4</v>
      </c>
      <c r="I36">
        <v>1</v>
      </c>
      <c r="J36">
        <v>7</v>
      </c>
      <c r="K36" t="s">
        <v>25</v>
      </c>
      <c r="L36" t="s">
        <v>26</v>
      </c>
      <c r="M36" t="s">
        <v>27</v>
      </c>
      <c r="N36" t="s">
        <v>28</v>
      </c>
      <c r="O36" t="s">
        <v>29</v>
      </c>
      <c r="P36" t="s">
        <v>41</v>
      </c>
      <c r="Q36" t="s">
        <v>31</v>
      </c>
      <c r="R36" t="s">
        <v>32</v>
      </c>
      <c r="S36" t="s">
        <v>42</v>
      </c>
      <c r="T36" t="s">
        <v>27</v>
      </c>
      <c r="U36" t="s">
        <v>34</v>
      </c>
      <c r="V36" t="s">
        <v>35</v>
      </c>
      <c r="W36" t="s">
        <v>36</v>
      </c>
      <c r="X36" t="s">
        <v>45</v>
      </c>
    </row>
    <row r="37" spans="1:24" x14ac:dyDescent="0.25">
      <c r="A37" t="s">
        <v>46</v>
      </c>
      <c r="B37">
        <v>30</v>
      </c>
      <c r="C37" t="s">
        <v>25</v>
      </c>
      <c r="D37">
        <v>1</v>
      </c>
      <c r="E37">
        <v>4</v>
      </c>
      <c r="F37">
        <v>6</v>
      </c>
      <c r="G37">
        <v>5</v>
      </c>
      <c r="H37">
        <v>3</v>
      </c>
      <c r="I37">
        <v>2</v>
      </c>
      <c r="J37">
        <v>7</v>
      </c>
      <c r="K37" t="s">
        <v>25</v>
      </c>
      <c r="L37" t="s">
        <v>60</v>
      </c>
      <c r="M37" t="s">
        <v>63</v>
      </c>
      <c r="N37" t="s">
        <v>28</v>
      </c>
      <c r="O37" t="s">
        <v>47</v>
      </c>
      <c r="P37" t="s">
        <v>30</v>
      </c>
      <c r="Q37" t="s">
        <v>31</v>
      </c>
      <c r="R37" t="s">
        <v>65</v>
      </c>
      <c r="S37" t="s">
        <v>42</v>
      </c>
      <c r="T37" t="s">
        <v>27</v>
      </c>
      <c r="U37" t="s">
        <v>34</v>
      </c>
      <c r="V37" t="s">
        <v>51</v>
      </c>
      <c r="W37" t="s">
        <v>36</v>
      </c>
      <c r="X37" t="s">
        <v>45</v>
      </c>
    </row>
    <row r="38" spans="1:24" x14ac:dyDescent="0.25">
      <c r="A38" t="s">
        <v>46</v>
      </c>
      <c r="B38">
        <v>30</v>
      </c>
      <c r="C38" t="s">
        <v>25</v>
      </c>
      <c r="D38">
        <v>2</v>
      </c>
      <c r="E38">
        <v>4</v>
      </c>
      <c r="F38">
        <v>7</v>
      </c>
      <c r="G38">
        <v>5</v>
      </c>
      <c r="H38">
        <v>1</v>
      </c>
      <c r="I38">
        <v>3</v>
      </c>
      <c r="J38">
        <v>6</v>
      </c>
      <c r="K38" t="s">
        <v>25</v>
      </c>
      <c r="L38" t="s">
        <v>26</v>
      </c>
      <c r="M38" t="s">
        <v>27</v>
      </c>
      <c r="N38" t="s">
        <v>28</v>
      </c>
      <c r="O38" t="s">
        <v>29</v>
      </c>
      <c r="P38" t="s">
        <v>30</v>
      </c>
      <c r="Q38" t="s">
        <v>31</v>
      </c>
      <c r="R38" t="s">
        <v>49</v>
      </c>
      <c r="S38" t="s">
        <v>33</v>
      </c>
      <c r="T38" t="s">
        <v>27</v>
      </c>
      <c r="U38" t="s">
        <v>34</v>
      </c>
      <c r="V38" t="s">
        <v>51</v>
      </c>
      <c r="W38" t="s">
        <v>59</v>
      </c>
      <c r="X38" t="s">
        <v>37</v>
      </c>
    </row>
    <row r="39" spans="1:24" x14ac:dyDescent="0.25">
      <c r="A39" t="s">
        <v>46</v>
      </c>
      <c r="B39">
        <v>25</v>
      </c>
      <c r="C39" t="s">
        <v>25</v>
      </c>
      <c r="D39">
        <v>5</v>
      </c>
      <c r="E39">
        <v>4</v>
      </c>
      <c r="F39">
        <v>7</v>
      </c>
      <c r="G39">
        <v>6</v>
      </c>
      <c r="H39">
        <v>1</v>
      </c>
      <c r="I39">
        <v>2</v>
      </c>
      <c r="J39">
        <v>3</v>
      </c>
      <c r="K39" t="s">
        <v>25</v>
      </c>
      <c r="L39" t="s">
        <v>60</v>
      </c>
      <c r="M39" t="s">
        <v>63</v>
      </c>
      <c r="N39" t="s">
        <v>64</v>
      </c>
      <c r="O39" t="s">
        <v>47</v>
      </c>
      <c r="P39" t="s">
        <v>30</v>
      </c>
      <c r="Q39" t="s">
        <v>61</v>
      </c>
      <c r="R39" t="s">
        <v>67</v>
      </c>
      <c r="S39" t="s">
        <v>42</v>
      </c>
      <c r="T39" t="s">
        <v>27</v>
      </c>
      <c r="U39" t="s">
        <v>34</v>
      </c>
      <c r="V39" t="s">
        <v>35</v>
      </c>
      <c r="W39" t="s">
        <v>36</v>
      </c>
      <c r="X39" t="s">
        <v>45</v>
      </c>
    </row>
    <row r="40" spans="1:24" x14ac:dyDescent="0.25">
      <c r="A40" t="s">
        <v>46</v>
      </c>
      <c r="B40">
        <v>31</v>
      </c>
      <c r="C40" t="s">
        <v>25</v>
      </c>
      <c r="D40">
        <v>2</v>
      </c>
      <c r="E40">
        <v>4</v>
      </c>
      <c r="F40">
        <v>7</v>
      </c>
      <c r="G40">
        <v>5</v>
      </c>
      <c r="H40">
        <v>3</v>
      </c>
      <c r="I40">
        <v>1</v>
      </c>
      <c r="J40">
        <v>6</v>
      </c>
      <c r="K40" t="s">
        <v>25</v>
      </c>
      <c r="L40" t="s">
        <v>60</v>
      </c>
      <c r="M40" t="s">
        <v>63</v>
      </c>
      <c r="N40" t="s">
        <v>28</v>
      </c>
      <c r="O40" t="s">
        <v>29</v>
      </c>
      <c r="P40" t="s">
        <v>41</v>
      </c>
      <c r="Q40" t="s">
        <v>31</v>
      </c>
      <c r="R40" t="s">
        <v>49</v>
      </c>
      <c r="S40" t="s">
        <v>42</v>
      </c>
      <c r="T40" t="s">
        <v>43</v>
      </c>
      <c r="U40" t="s">
        <v>56</v>
      </c>
      <c r="V40" t="s">
        <v>51</v>
      </c>
      <c r="W40" t="s">
        <v>36</v>
      </c>
      <c r="X40" t="s">
        <v>37</v>
      </c>
    </row>
    <row r="41" spans="1:24" x14ac:dyDescent="0.25">
      <c r="A41" t="s">
        <v>46</v>
      </c>
      <c r="B41">
        <v>29</v>
      </c>
      <c r="C41" t="s">
        <v>25</v>
      </c>
      <c r="D41">
        <v>4</v>
      </c>
      <c r="E41">
        <v>3</v>
      </c>
      <c r="F41">
        <v>5</v>
      </c>
      <c r="G41">
        <v>7</v>
      </c>
      <c r="H41">
        <v>2</v>
      </c>
      <c r="I41">
        <v>1</v>
      </c>
      <c r="J41">
        <v>6</v>
      </c>
      <c r="K41" t="s">
        <v>25</v>
      </c>
      <c r="L41" t="s">
        <v>26</v>
      </c>
      <c r="M41" t="s">
        <v>27</v>
      </c>
      <c r="N41" t="s">
        <v>28</v>
      </c>
      <c r="O41" t="s">
        <v>47</v>
      </c>
      <c r="P41" t="s">
        <v>30</v>
      </c>
      <c r="Q41" t="s">
        <v>31</v>
      </c>
      <c r="R41" t="s">
        <v>65</v>
      </c>
      <c r="S41" t="s">
        <v>33</v>
      </c>
      <c r="T41" t="s">
        <v>43</v>
      </c>
      <c r="U41" t="s">
        <v>34</v>
      </c>
      <c r="V41" t="s">
        <v>35</v>
      </c>
      <c r="W41" t="s">
        <v>36</v>
      </c>
      <c r="X41" t="s">
        <v>45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27BF9-29BB-4973-9AF6-9E34753B2E7F}">
  <dimension ref="A1:Z41"/>
  <sheetViews>
    <sheetView zoomScale="85" zoomScaleNormal="85" workbookViewId="0">
      <selection activeCell="V18" sqref="V18"/>
    </sheetView>
  </sheetViews>
  <sheetFormatPr defaultRowHeight="15" x14ac:dyDescent="0.25"/>
  <cols>
    <col min="1" max="1" width="18.5703125" customWidth="1"/>
    <col min="2" max="2" width="11.85546875" bestFit="1" customWidth="1"/>
    <col min="3" max="3" width="19.28515625" customWidth="1"/>
    <col min="4" max="4" width="18.140625" customWidth="1"/>
    <col min="5" max="5" width="27.7109375" customWidth="1"/>
  </cols>
  <sheetData>
    <row r="1" spans="1:26" x14ac:dyDescent="0.25">
      <c r="A1" t="s">
        <v>72</v>
      </c>
      <c r="B1" t="s">
        <v>73</v>
      </c>
      <c r="C1" t="s">
        <v>74</v>
      </c>
      <c r="D1" t="s">
        <v>75</v>
      </c>
      <c r="E1" t="s">
        <v>76</v>
      </c>
      <c r="F1" t="s">
        <v>1</v>
      </c>
    </row>
    <row r="2" spans="1:26" x14ac:dyDescent="0.25">
      <c r="A2">
        <v>2</v>
      </c>
      <c r="B2">
        <v>25</v>
      </c>
      <c r="C2">
        <f>CORREL(F1:F41,A1:A41)</f>
        <v>7.6515469644210965E-2</v>
      </c>
      <c r="D2">
        <f>CORREL(F1:F41,B1:B41)</f>
        <v>-8.9605620240757883E-2</v>
      </c>
      <c r="E2">
        <f>CORREL(A1:A41,B1:B41)</f>
        <v>0.27149751588388188</v>
      </c>
      <c r="F2">
        <v>34</v>
      </c>
    </row>
    <row r="3" spans="1:26" x14ac:dyDescent="0.25">
      <c r="A3">
        <v>4</v>
      </c>
      <c r="B3">
        <v>25</v>
      </c>
      <c r="F3">
        <v>23</v>
      </c>
      <c r="X3" s="3"/>
      <c r="Y3" s="4"/>
      <c r="Z3" s="5"/>
    </row>
    <row r="4" spans="1:26" x14ac:dyDescent="0.25">
      <c r="A4">
        <v>3</v>
      </c>
      <c r="B4">
        <v>25</v>
      </c>
      <c r="F4">
        <v>30</v>
      </c>
      <c r="X4" s="6"/>
      <c r="Y4" s="7"/>
      <c r="Z4" s="8"/>
    </row>
    <row r="5" spans="1:26" x14ac:dyDescent="0.25">
      <c r="A5">
        <v>1</v>
      </c>
      <c r="B5">
        <v>15</v>
      </c>
      <c r="F5">
        <v>22</v>
      </c>
      <c r="X5" s="6"/>
      <c r="Y5" s="7"/>
      <c r="Z5" s="8"/>
    </row>
    <row r="6" spans="1:26" x14ac:dyDescent="0.25">
      <c r="A6">
        <v>1</v>
      </c>
      <c r="B6">
        <v>25</v>
      </c>
      <c r="F6">
        <v>24</v>
      </c>
      <c r="X6" s="6"/>
      <c r="Y6" s="7"/>
      <c r="Z6" s="8"/>
    </row>
    <row r="7" spans="1:26" x14ac:dyDescent="0.25">
      <c r="A7">
        <v>2</v>
      </c>
      <c r="B7">
        <v>35</v>
      </c>
      <c r="F7">
        <v>24</v>
      </c>
      <c r="X7" s="6"/>
      <c r="Y7" s="7"/>
      <c r="Z7" s="8"/>
    </row>
    <row r="8" spans="1:26" x14ac:dyDescent="0.25">
      <c r="A8">
        <v>3</v>
      </c>
      <c r="B8">
        <v>25</v>
      </c>
      <c r="F8">
        <v>27</v>
      </c>
      <c r="X8" s="6"/>
      <c r="Y8" s="7"/>
      <c r="Z8" s="8"/>
    </row>
    <row r="9" spans="1:26" x14ac:dyDescent="0.25">
      <c r="A9">
        <v>3</v>
      </c>
      <c r="B9">
        <v>25</v>
      </c>
      <c r="F9">
        <v>21</v>
      </c>
      <c r="X9" s="6"/>
      <c r="Y9" s="7"/>
      <c r="Z9" s="8"/>
    </row>
    <row r="10" spans="1:26" x14ac:dyDescent="0.25">
      <c r="A10">
        <v>2</v>
      </c>
      <c r="B10">
        <v>25</v>
      </c>
      <c r="F10">
        <v>35</v>
      </c>
      <c r="X10" s="6"/>
      <c r="Y10" s="7"/>
      <c r="Z10" s="8"/>
    </row>
    <row r="11" spans="1:26" x14ac:dyDescent="0.25">
      <c r="A11">
        <v>3</v>
      </c>
      <c r="B11">
        <v>35</v>
      </c>
      <c r="F11">
        <v>31</v>
      </c>
      <c r="X11" s="6"/>
      <c r="Y11" s="7"/>
      <c r="Z11" s="8"/>
    </row>
    <row r="12" spans="1:26" x14ac:dyDescent="0.25">
      <c r="A12">
        <v>3</v>
      </c>
      <c r="B12">
        <v>25</v>
      </c>
      <c r="F12">
        <v>35</v>
      </c>
      <c r="X12" s="6"/>
      <c r="Y12" s="7"/>
      <c r="Z12" s="8"/>
    </row>
    <row r="13" spans="1:26" x14ac:dyDescent="0.25">
      <c r="A13">
        <v>2</v>
      </c>
      <c r="B13">
        <v>25</v>
      </c>
      <c r="F13">
        <v>29</v>
      </c>
      <c r="X13" s="6"/>
      <c r="Y13" s="7"/>
      <c r="Z13" s="8"/>
    </row>
    <row r="14" spans="1:26" x14ac:dyDescent="0.25">
      <c r="A14">
        <v>2</v>
      </c>
      <c r="B14">
        <v>25</v>
      </c>
      <c r="F14">
        <v>21</v>
      </c>
      <c r="X14" s="6"/>
      <c r="Y14" s="7"/>
      <c r="Z14" s="8"/>
    </row>
    <row r="15" spans="1:26" x14ac:dyDescent="0.25">
      <c r="A15">
        <v>2</v>
      </c>
      <c r="B15">
        <v>25</v>
      </c>
      <c r="F15">
        <v>28</v>
      </c>
      <c r="X15" s="6"/>
      <c r="Y15" s="7"/>
      <c r="Z15" s="8"/>
    </row>
    <row r="16" spans="1:26" x14ac:dyDescent="0.25">
      <c r="A16">
        <v>2</v>
      </c>
      <c r="B16">
        <v>25</v>
      </c>
      <c r="F16">
        <v>25</v>
      </c>
      <c r="U16" s="3"/>
      <c r="V16" s="4"/>
      <c r="W16" s="5"/>
      <c r="X16" s="6"/>
      <c r="Y16" s="7"/>
      <c r="Z16" s="8"/>
    </row>
    <row r="17" spans="1:26" x14ac:dyDescent="0.25">
      <c r="A17">
        <v>2</v>
      </c>
      <c r="B17">
        <v>25</v>
      </c>
      <c r="F17">
        <v>27</v>
      </c>
      <c r="U17" s="6"/>
      <c r="V17" s="7"/>
      <c r="W17" s="8"/>
      <c r="X17" s="6"/>
      <c r="Y17" s="7"/>
      <c r="Z17" s="8"/>
    </row>
    <row r="18" spans="1:26" x14ac:dyDescent="0.25">
      <c r="A18">
        <v>2</v>
      </c>
      <c r="B18">
        <v>25</v>
      </c>
      <c r="F18">
        <v>28</v>
      </c>
      <c r="U18" s="6"/>
      <c r="V18" s="7"/>
      <c r="W18" s="8"/>
      <c r="X18" s="6"/>
      <c r="Y18" s="7"/>
      <c r="Z18" s="8"/>
    </row>
    <row r="19" spans="1:26" x14ac:dyDescent="0.25">
      <c r="A19">
        <v>2</v>
      </c>
      <c r="B19">
        <v>25</v>
      </c>
      <c r="F19">
        <v>27</v>
      </c>
      <c r="U19" s="6"/>
      <c r="V19" s="7"/>
      <c r="W19" s="8"/>
      <c r="X19" s="6"/>
      <c r="Y19" s="7"/>
      <c r="Z19" s="8"/>
    </row>
    <row r="20" spans="1:26" x14ac:dyDescent="0.25">
      <c r="A20">
        <v>2</v>
      </c>
      <c r="B20">
        <v>25</v>
      </c>
      <c r="F20">
        <v>29</v>
      </c>
      <c r="U20" s="6"/>
      <c r="V20" s="7"/>
      <c r="W20" s="8"/>
      <c r="X20" s="9"/>
      <c r="Y20" s="10"/>
      <c r="Z20" s="11"/>
    </row>
    <row r="21" spans="1:26" x14ac:dyDescent="0.25">
      <c r="A21">
        <v>3</v>
      </c>
      <c r="B21">
        <v>25</v>
      </c>
      <c r="F21">
        <v>26</v>
      </c>
      <c r="U21" s="6"/>
      <c r="V21" s="7"/>
      <c r="W21" s="8"/>
    </row>
    <row r="22" spans="1:26" x14ac:dyDescent="0.25">
      <c r="A22">
        <v>3</v>
      </c>
      <c r="B22">
        <v>25</v>
      </c>
      <c r="F22">
        <v>29</v>
      </c>
      <c r="U22" s="6"/>
      <c r="V22" s="7"/>
      <c r="W22" s="8"/>
    </row>
    <row r="23" spans="1:26" x14ac:dyDescent="0.25">
      <c r="A23">
        <v>3</v>
      </c>
      <c r="B23">
        <v>25</v>
      </c>
      <c r="F23">
        <v>24</v>
      </c>
      <c r="U23" s="6"/>
      <c r="V23" s="7"/>
      <c r="W23" s="8"/>
    </row>
    <row r="24" spans="1:26" x14ac:dyDescent="0.25">
      <c r="A24">
        <v>3</v>
      </c>
      <c r="B24">
        <v>25</v>
      </c>
      <c r="F24">
        <v>27</v>
      </c>
      <c r="U24" s="6"/>
      <c r="V24" s="7"/>
      <c r="W24" s="8"/>
    </row>
    <row r="25" spans="1:26" x14ac:dyDescent="0.25">
      <c r="A25">
        <v>3</v>
      </c>
      <c r="B25">
        <v>25</v>
      </c>
      <c r="F25">
        <v>25</v>
      </c>
      <c r="U25" s="6"/>
      <c r="V25" s="7"/>
      <c r="W25" s="8"/>
    </row>
    <row r="26" spans="1:26" x14ac:dyDescent="0.25">
      <c r="A26">
        <v>3</v>
      </c>
      <c r="B26">
        <v>35</v>
      </c>
      <c r="F26">
        <v>26</v>
      </c>
      <c r="U26" s="6"/>
      <c r="V26" s="7"/>
      <c r="W26" s="8"/>
    </row>
    <row r="27" spans="1:26" x14ac:dyDescent="0.25">
      <c r="A27">
        <v>3</v>
      </c>
      <c r="B27">
        <v>25</v>
      </c>
      <c r="F27">
        <v>32</v>
      </c>
      <c r="U27" s="6"/>
      <c r="V27" s="7"/>
      <c r="W27" s="8"/>
    </row>
    <row r="28" spans="1:26" x14ac:dyDescent="0.25">
      <c r="A28">
        <v>3</v>
      </c>
      <c r="B28">
        <v>25</v>
      </c>
      <c r="F28">
        <v>26</v>
      </c>
      <c r="U28" s="6"/>
      <c r="V28" s="7"/>
      <c r="W28" s="8"/>
    </row>
    <row r="29" spans="1:26" x14ac:dyDescent="0.25">
      <c r="A29">
        <v>2</v>
      </c>
      <c r="B29">
        <v>25</v>
      </c>
      <c r="F29">
        <v>31</v>
      </c>
      <c r="U29" s="6"/>
      <c r="V29" s="7"/>
      <c r="W29" s="8"/>
    </row>
    <row r="30" spans="1:26" x14ac:dyDescent="0.25">
      <c r="A30">
        <v>2</v>
      </c>
      <c r="B30">
        <v>25</v>
      </c>
      <c r="F30">
        <v>29</v>
      </c>
      <c r="U30" s="6"/>
      <c r="V30" s="7"/>
      <c r="W30" s="8"/>
    </row>
    <row r="31" spans="1:26" x14ac:dyDescent="0.25">
      <c r="A31">
        <v>3</v>
      </c>
      <c r="B31">
        <v>15</v>
      </c>
      <c r="F31">
        <v>34</v>
      </c>
      <c r="U31" s="6"/>
      <c r="V31" s="7"/>
      <c r="W31" s="8"/>
    </row>
    <row r="32" spans="1:26" x14ac:dyDescent="0.25">
      <c r="A32">
        <v>2</v>
      </c>
      <c r="B32">
        <v>15</v>
      </c>
      <c r="F32">
        <v>27</v>
      </c>
      <c r="U32" s="6"/>
      <c r="V32" s="7"/>
      <c r="W32" s="8"/>
    </row>
    <row r="33" spans="1:23" x14ac:dyDescent="0.25">
      <c r="A33">
        <v>3</v>
      </c>
      <c r="B33">
        <v>25</v>
      </c>
      <c r="F33">
        <v>31</v>
      </c>
      <c r="U33" s="9"/>
      <c r="V33" s="10"/>
      <c r="W33" s="11"/>
    </row>
    <row r="34" spans="1:23" x14ac:dyDescent="0.25">
      <c r="A34">
        <v>3</v>
      </c>
      <c r="B34">
        <v>35</v>
      </c>
      <c r="F34">
        <v>27</v>
      </c>
    </row>
    <row r="35" spans="1:23" x14ac:dyDescent="0.25">
      <c r="A35">
        <v>2</v>
      </c>
      <c r="B35">
        <v>25</v>
      </c>
      <c r="F35">
        <v>26</v>
      </c>
    </row>
    <row r="36" spans="1:23" x14ac:dyDescent="0.25">
      <c r="A36">
        <v>2</v>
      </c>
      <c r="B36">
        <v>25</v>
      </c>
      <c r="F36">
        <v>27</v>
      </c>
    </row>
    <row r="37" spans="1:23" x14ac:dyDescent="0.25">
      <c r="A37">
        <v>3</v>
      </c>
      <c r="B37">
        <v>25</v>
      </c>
      <c r="F37">
        <v>30</v>
      </c>
    </row>
    <row r="38" spans="1:23" x14ac:dyDescent="0.25">
      <c r="A38">
        <v>2</v>
      </c>
      <c r="B38">
        <v>25</v>
      </c>
      <c r="F38">
        <v>30</v>
      </c>
    </row>
    <row r="39" spans="1:23" x14ac:dyDescent="0.25">
      <c r="A39">
        <v>3</v>
      </c>
      <c r="B39">
        <v>35</v>
      </c>
      <c r="F39">
        <v>25</v>
      </c>
    </row>
    <row r="40" spans="1:23" x14ac:dyDescent="0.25">
      <c r="A40">
        <v>2</v>
      </c>
      <c r="B40">
        <v>25</v>
      </c>
      <c r="F40">
        <v>31</v>
      </c>
    </row>
    <row r="41" spans="1:23" x14ac:dyDescent="0.25">
      <c r="A41">
        <v>3</v>
      </c>
      <c r="B41">
        <v>25</v>
      </c>
      <c r="F41">
        <v>29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76FD5-2468-484B-9EC9-B820932C3789}">
  <dimension ref="A1:B1"/>
  <sheetViews>
    <sheetView tabSelected="1" zoomScale="85" zoomScaleNormal="85" workbookViewId="0">
      <selection activeCell="L30" sqref="L30"/>
    </sheetView>
  </sheetViews>
  <sheetFormatPr defaultRowHeight="15" x14ac:dyDescent="0.25"/>
  <cols>
    <col min="1" max="1" width="33.140625" style="14" customWidth="1"/>
    <col min="2" max="2" width="35.7109375" style="14" customWidth="1"/>
    <col min="3" max="3" width="45.28515625" style="14" customWidth="1"/>
    <col min="4" max="4" width="35.28515625" style="14" customWidth="1"/>
    <col min="5" max="16384" width="9.140625" style="14"/>
  </cols>
  <sheetData>
    <row r="1" spans="1:2" s="13" customFormat="1" ht="44.25" customHeight="1" x14ac:dyDescent="0.5">
      <c r="A1" s="15" t="s">
        <v>93</v>
      </c>
      <c r="B1" s="15" t="s">
        <v>92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task4</vt:lpstr>
      <vt:lpstr>task4,ii</vt:lpstr>
      <vt:lpstr>task1</vt:lpstr>
      <vt:lpstr>task2,i</vt:lpstr>
      <vt:lpstr>task 2,ii</vt:lpstr>
      <vt:lpstr>task3</vt:lpstr>
      <vt:lpstr>Data_set 2 (1)</vt:lpstr>
      <vt:lpstr>task5</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2026-04-30T16:00:51Z</dcterms:created>
  <dcterms:modified xsi:type="dcterms:W3CDTF">2026-05-04T14:27:24Z</dcterms:modified>
</cp:coreProperties>
</file>